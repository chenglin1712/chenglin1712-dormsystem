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 filterPrivacy="1"/>
  <xr:revisionPtr revIDLastSave="0" documentId="13_ncr:1_{01CC83FF-A2CE-D843-A7CD-A138489BEA16}" xr6:coauthVersionLast="47" xr6:coauthVersionMax="47" xr10:uidLastSave="{00000000-0000-0000-0000-000000000000}"/>
  <bookViews>
    <workbookView xWindow="0" yWindow="680" windowWidth="23260" windowHeight="12580" tabRatio="852" xr2:uid="{00000000-000D-0000-FFFF-FFFF00000000}"/>
  </bookViews>
  <sheets>
    <sheet name="總名冊" sheetId="1" r:id="rId1"/>
    <sheet name="男生(2)" sheetId="40" state="hidden" r:id="rId2"/>
    <sheet name="男生(3)" sheetId="36" state="hidden" r:id="rId3"/>
    <sheet name="男生(4)" sheetId="38" state="hidden" r:id="rId4"/>
    <sheet name="男生(5)" sheetId="39" state="hidden" r:id="rId5"/>
    <sheet name="女生(3)" sheetId="45" state="hidden" r:id="rId6"/>
    <sheet name="男生(6)" sheetId="41" state="hidden" r:id="rId7"/>
    <sheet name="男生(7)" sheetId="42" state="hidden" r:id="rId8"/>
    <sheet name="女生(1)" sheetId="43" state="hidden" r:id="rId9"/>
    <sheet name="女生(2)" sheetId="44" state="hidden" r:id="rId10"/>
    <sheet name="女生(4)" sheetId="46" state="hidden" r:id="rId11"/>
    <sheet name="女生(5)" sheetId="47" state="hidden" r:id="rId12"/>
    <sheet name="女生(6)" sheetId="48" state="hidden" r:id="rId13"/>
    <sheet name="女生(7)" sheetId="49" state="hidden" r:id="rId14"/>
  </sheets>
  <externalReferences>
    <externalReference r:id="rId15"/>
  </externalReferences>
  <definedNames>
    <definedName name="_xlnm._FilterDatabase" localSheetId="0" hidden="1">總名冊!$A$1:$P$2305</definedName>
    <definedName name="_xlnm.Print_Area" localSheetId="8">'女生(1)'!#REF!,'女生(1)'!$A$1:$R$24</definedName>
    <definedName name="_xlnm.Print_Area" localSheetId="9">'女生(2)'!#REF!,'女生(2)'!$A$1:$R$24</definedName>
    <definedName name="_xlnm.Print_Area" localSheetId="5">'女生(3)'!#REF!,'女生(3)'!$A$1:$R$24</definedName>
    <definedName name="_xlnm.Print_Area" localSheetId="10">'女生(4)'!#REF!,'女生(4)'!$A$1:$R$24</definedName>
    <definedName name="_xlnm.Print_Area" localSheetId="11">'女生(5)'!#REF!,'女生(5)'!$A$1:$R$24</definedName>
    <definedName name="_xlnm.Print_Area" localSheetId="12">'女生(6)'!#REF!,'女生(6)'!$A$1:$R$24</definedName>
    <definedName name="_xlnm.Print_Area" localSheetId="13">'女生(7)'!#REF!,'女生(7)'!$A$1:$R$24</definedName>
    <definedName name="_xlnm.Print_Area" localSheetId="1">'男生(2)'!#REF!,'男生(2)'!$A$1:$R$24</definedName>
    <definedName name="_xlnm.Print_Area" localSheetId="2">'男生(3)'!#REF!,'男生(3)'!$A$1:$R$24</definedName>
    <definedName name="_xlnm.Print_Area" localSheetId="3">'男生(4)'!#REF!,'男生(4)'!$A$1:$R$24</definedName>
    <definedName name="_xlnm.Print_Area" localSheetId="4">'男生(5)'!#REF!,'男生(5)'!$A$1:$R$24</definedName>
    <definedName name="_xlnm.Print_Area" localSheetId="6">'男生(6)'!#REF!,'男生(6)'!$A$1:$R$24</definedName>
    <definedName name="_xlnm.Print_Area" localSheetId="7">'男生(7)'!#REF!,'男生(7)'!$A$1:$R$24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64" i="1" l="1"/>
  <c r="L564" i="1" l="1"/>
  <c r="M557" i="1" l="1"/>
  <c r="M561" i="1"/>
  <c r="M556" i="1" l="1"/>
  <c r="M559" i="1"/>
  <c r="M558" i="1"/>
  <c r="M564" i="1" l="1"/>
  <c r="M555" i="1"/>
  <c r="M24" i="49" l="1"/>
  <c r="L24" i="49"/>
  <c r="D24" i="49"/>
  <c r="C24" i="49"/>
  <c r="M23" i="49"/>
  <c r="L23" i="49"/>
  <c r="D23" i="49"/>
  <c r="C23" i="49"/>
  <c r="M22" i="49"/>
  <c r="L22" i="49"/>
  <c r="D22" i="49"/>
  <c r="C22" i="49"/>
  <c r="M21" i="49"/>
  <c r="L21" i="49"/>
  <c r="D21" i="49"/>
  <c r="C21" i="49"/>
  <c r="M20" i="49"/>
  <c r="L20" i="49"/>
  <c r="D20" i="49"/>
  <c r="C20" i="49"/>
  <c r="M19" i="49"/>
  <c r="L19" i="49"/>
  <c r="D19" i="49"/>
  <c r="C19" i="49"/>
  <c r="M18" i="49"/>
  <c r="L18" i="49"/>
  <c r="D18" i="49"/>
  <c r="C18" i="49"/>
  <c r="M17" i="49"/>
  <c r="L17" i="49"/>
  <c r="D17" i="49"/>
  <c r="C17" i="49"/>
  <c r="M16" i="49"/>
  <c r="L16" i="49"/>
  <c r="D16" i="49"/>
  <c r="C16" i="49"/>
  <c r="M15" i="49"/>
  <c r="L15" i="49"/>
  <c r="D15" i="49"/>
  <c r="C15" i="49"/>
  <c r="M14" i="49"/>
  <c r="L14" i="49"/>
  <c r="D14" i="49"/>
  <c r="C14" i="49"/>
  <c r="M13" i="49"/>
  <c r="L13" i="49"/>
  <c r="D13" i="49"/>
  <c r="C13" i="49"/>
  <c r="M12" i="49"/>
  <c r="L12" i="49"/>
  <c r="D12" i="49"/>
  <c r="C12" i="49"/>
  <c r="M11" i="49"/>
  <c r="L11" i="49"/>
  <c r="D11" i="49"/>
  <c r="C11" i="49"/>
  <c r="M10" i="49"/>
  <c r="L10" i="49"/>
  <c r="D10" i="49"/>
  <c r="C10" i="49"/>
  <c r="M9" i="49"/>
  <c r="L9" i="49"/>
  <c r="D9" i="49"/>
  <c r="C9" i="49"/>
  <c r="M8" i="49"/>
  <c r="L8" i="49"/>
  <c r="D8" i="49"/>
  <c r="C8" i="49"/>
  <c r="M7" i="49"/>
  <c r="L7" i="49"/>
  <c r="D7" i="49"/>
  <c r="C7" i="49"/>
  <c r="M6" i="49"/>
  <c r="L6" i="49"/>
  <c r="D6" i="49"/>
  <c r="C6" i="49"/>
  <c r="M5" i="49"/>
  <c r="L5" i="49"/>
  <c r="D5" i="49"/>
  <c r="C5" i="49"/>
  <c r="M4" i="49"/>
  <c r="L4" i="49"/>
  <c r="D4" i="49"/>
  <c r="C4" i="49"/>
  <c r="M24" i="48"/>
  <c r="L24" i="48"/>
  <c r="D24" i="48"/>
  <c r="C24" i="48"/>
  <c r="M23" i="48"/>
  <c r="L23" i="48"/>
  <c r="D23" i="48"/>
  <c r="C23" i="48"/>
  <c r="M22" i="48"/>
  <c r="L22" i="48"/>
  <c r="D22" i="48"/>
  <c r="C22" i="48"/>
  <c r="M21" i="48"/>
  <c r="L21" i="48"/>
  <c r="D21" i="48"/>
  <c r="C21" i="48"/>
  <c r="M20" i="48"/>
  <c r="L20" i="48"/>
  <c r="D20" i="48"/>
  <c r="C20" i="48"/>
  <c r="M19" i="48"/>
  <c r="L19" i="48"/>
  <c r="D19" i="48"/>
  <c r="C19" i="48"/>
  <c r="M18" i="48"/>
  <c r="L18" i="48"/>
  <c r="D18" i="48"/>
  <c r="C18" i="48"/>
  <c r="M17" i="48"/>
  <c r="L17" i="48"/>
  <c r="D17" i="48"/>
  <c r="C17" i="48"/>
  <c r="M16" i="48"/>
  <c r="L16" i="48"/>
  <c r="D16" i="48"/>
  <c r="C16" i="48"/>
  <c r="M15" i="48"/>
  <c r="L15" i="48"/>
  <c r="D15" i="48"/>
  <c r="C15" i="48"/>
  <c r="M14" i="48"/>
  <c r="L14" i="48"/>
  <c r="D14" i="48"/>
  <c r="C14" i="48"/>
  <c r="M13" i="48"/>
  <c r="L13" i="48"/>
  <c r="D13" i="48"/>
  <c r="C13" i="48"/>
  <c r="M12" i="48"/>
  <c r="L12" i="48"/>
  <c r="D12" i="48"/>
  <c r="C12" i="48"/>
  <c r="M11" i="48"/>
  <c r="L11" i="48"/>
  <c r="D11" i="48"/>
  <c r="C11" i="48"/>
  <c r="M10" i="48"/>
  <c r="L10" i="48"/>
  <c r="D10" i="48"/>
  <c r="C10" i="48"/>
  <c r="M9" i="48"/>
  <c r="L9" i="48"/>
  <c r="D9" i="48"/>
  <c r="C9" i="48"/>
  <c r="M8" i="48"/>
  <c r="L8" i="48"/>
  <c r="D8" i="48"/>
  <c r="C8" i="48"/>
  <c r="M7" i="48"/>
  <c r="L7" i="48"/>
  <c r="D7" i="48"/>
  <c r="C7" i="48"/>
  <c r="M6" i="48"/>
  <c r="L6" i="48"/>
  <c r="D6" i="48"/>
  <c r="C6" i="48"/>
  <c r="M5" i="48"/>
  <c r="L5" i="48"/>
  <c r="D5" i="48"/>
  <c r="C5" i="48"/>
  <c r="M4" i="48"/>
  <c r="L4" i="48"/>
  <c r="D4" i="48"/>
  <c r="C4" i="48"/>
  <c r="M24" i="47"/>
  <c r="L24" i="47"/>
  <c r="D24" i="47"/>
  <c r="C24" i="47"/>
  <c r="M23" i="47"/>
  <c r="L23" i="47"/>
  <c r="D23" i="47"/>
  <c r="C23" i="47"/>
  <c r="M22" i="47"/>
  <c r="L22" i="47"/>
  <c r="D22" i="47"/>
  <c r="C22" i="47"/>
  <c r="M21" i="47"/>
  <c r="L21" i="47"/>
  <c r="D21" i="47"/>
  <c r="C21" i="47"/>
  <c r="M20" i="47"/>
  <c r="L20" i="47"/>
  <c r="D20" i="47"/>
  <c r="C20" i="47"/>
  <c r="M19" i="47"/>
  <c r="L19" i="47"/>
  <c r="D19" i="47"/>
  <c r="C19" i="47"/>
  <c r="M18" i="47"/>
  <c r="L18" i="47"/>
  <c r="D18" i="47"/>
  <c r="C18" i="47"/>
  <c r="M17" i="47"/>
  <c r="L17" i="47"/>
  <c r="D17" i="47"/>
  <c r="C17" i="47"/>
  <c r="M16" i="47"/>
  <c r="L16" i="47"/>
  <c r="D16" i="47"/>
  <c r="C16" i="47"/>
  <c r="M15" i="47"/>
  <c r="L15" i="47"/>
  <c r="D15" i="47"/>
  <c r="C15" i="47"/>
  <c r="M14" i="47"/>
  <c r="L14" i="47"/>
  <c r="D14" i="47"/>
  <c r="C14" i="47"/>
  <c r="M13" i="47"/>
  <c r="L13" i="47"/>
  <c r="D13" i="47"/>
  <c r="C13" i="47"/>
  <c r="M12" i="47"/>
  <c r="L12" i="47"/>
  <c r="D12" i="47"/>
  <c r="C12" i="47"/>
  <c r="M11" i="47"/>
  <c r="L11" i="47"/>
  <c r="D11" i="47"/>
  <c r="C11" i="47"/>
  <c r="M10" i="47"/>
  <c r="L10" i="47"/>
  <c r="D10" i="47"/>
  <c r="C10" i="47"/>
  <c r="M9" i="47"/>
  <c r="L9" i="47"/>
  <c r="D9" i="47"/>
  <c r="C9" i="47"/>
  <c r="M8" i="47"/>
  <c r="L8" i="47"/>
  <c r="D8" i="47"/>
  <c r="C8" i="47"/>
  <c r="M7" i="47"/>
  <c r="L7" i="47"/>
  <c r="D7" i="47"/>
  <c r="C7" i="47"/>
  <c r="M6" i="47"/>
  <c r="L6" i="47"/>
  <c r="D6" i="47"/>
  <c r="C6" i="47"/>
  <c r="M5" i="47"/>
  <c r="L5" i="47"/>
  <c r="D5" i="47"/>
  <c r="C5" i="47"/>
  <c r="M4" i="47"/>
  <c r="L4" i="47"/>
  <c r="D4" i="47"/>
  <c r="C4" i="47"/>
  <c r="M24" i="46"/>
  <c r="L24" i="46"/>
  <c r="D24" i="46"/>
  <c r="C24" i="46"/>
  <c r="M23" i="46"/>
  <c r="L23" i="46"/>
  <c r="D23" i="46"/>
  <c r="C23" i="46"/>
  <c r="M22" i="46"/>
  <c r="L22" i="46"/>
  <c r="D22" i="46"/>
  <c r="C22" i="46"/>
  <c r="M21" i="46"/>
  <c r="L21" i="46"/>
  <c r="D21" i="46"/>
  <c r="C21" i="46"/>
  <c r="M20" i="46"/>
  <c r="L20" i="46"/>
  <c r="D20" i="46"/>
  <c r="C20" i="46"/>
  <c r="M19" i="46"/>
  <c r="L19" i="46"/>
  <c r="D19" i="46"/>
  <c r="C19" i="46"/>
  <c r="M18" i="46"/>
  <c r="L18" i="46"/>
  <c r="D18" i="46"/>
  <c r="C18" i="46"/>
  <c r="M17" i="46"/>
  <c r="L17" i="46"/>
  <c r="D17" i="46"/>
  <c r="C17" i="46"/>
  <c r="M16" i="46"/>
  <c r="L16" i="46"/>
  <c r="D16" i="46"/>
  <c r="C16" i="46"/>
  <c r="M15" i="46"/>
  <c r="L15" i="46"/>
  <c r="D15" i="46"/>
  <c r="C15" i="46"/>
  <c r="M14" i="46"/>
  <c r="L14" i="46"/>
  <c r="D14" i="46"/>
  <c r="C14" i="46"/>
  <c r="M13" i="46"/>
  <c r="L13" i="46"/>
  <c r="D13" i="46"/>
  <c r="C13" i="46"/>
  <c r="M12" i="46"/>
  <c r="L12" i="46"/>
  <c r="D12" i="46"/>
  <c r="C12" i="46"/>
  <c r="M11" i="46"/>
  <c r="L11" i="46"/>
  <c r="D11" i="46"/>
  <c r="C11" i="46"/>
  <c r="M10" i="46"/>
  <c r="L10" i="46"/>
  <c r="D10" i="46"/>
  <c r="C10" i="46"/>
  <c r="M9" i="46"/>
  <c r="L9" i="46"/>
  <c r="D9" i="46"/>
  <c r="C9" i="46"/>
  <c r="M8" i="46"/>
  <c r="L8" i="46"/>
  <c r="D8" i="46"/>
  <c r="C8" i="46"/>
  <c r="M7" i="46"/>
  <c r="L7" i="46"/>
  <c r="D7" i="46"/>
  <c r="C7" i="46"/>
  <c r="M6" i="46"/>
  <c r="L6" i="46"/>
  <c r="D6" i="46"/>
  <c r="C6" i="46"/>
  <c r="M5" i="46"/>
  <c r="L5" i="46"/>
  <c r="D5" i="46"/>
  <c r="C5" i="46"/>
  <c r="M4" i="46"/>
  <c r="L4" i="46"/>
  <c r="D4" i="46"/>
  <c r="C4" i="46"/>
  <c r="M24" i="44"/>
  <c r="L24" i="44"/>
  <c r="D24" i="44"/>
  <c r="C24" i="44"/>
  <c r="M23" i="44"/>
  <c r="L23" i="44"/>
  <c r="D23" i="44"/>
  <c r="C23" i="44"/>
  <c r="M22" i="44"/>
  <c r="L22" i="44"/>
  <c r="D22" i="44"/>
  <c r="C22" i="44"/>
  <c r="M21" i="44"/>
  <c r="L21" i="44"/>
  <c r="D21" i="44"/>
  <c r="C21" i="44"/>
  <c r="M20" i="44"/>
  <c r="L20" i="44"/>
  <c r="D20" i="44"/>
  <c r="C20" i="44"/>
  <c r="M19" i="44"/>
  <c r="L19" i="44"/>
  <c r="D19" i="44"/>
  <c r="C19" i="44"/>
  <c r="M18" i="44"/>
  <c r="L18" i="44"/>
  <c r="D18" i="44"/>
  <c r="C18" i="44"/>
  <c r="M17" i="44"/>
  <c r="L17" i="44"/>
  <c r="D17" i="44"/>
  <c r="C17" i="44"/>
  <c r="M16" i="44"/>
  <c r="L16" i="44"/>
  <c r="D16" i="44"/>
  <c r="C16" i="44"/>
  <c r="M15" i="44"/>
  <c r="L15" i="44"/>
  <c r="D15" i="44"/>
  <c r="C15" i="44"/>
  <c r="M14" i="44"/>
  <c r="L14" i="44"/>
  <c r="D14" i="44"/>
  <c r="C14" i="44"/>
  <c r="M13" i="44"/>
  <c r="L13" i="44"/>
  <c r="D13" i="44"/>
  <c r="C13" i="44"/>
  <c r="M12" i="44"/>
  <c r="L12" i="44"/>
  <c r="D12" i="44"/>
  <c r="C12" i="44"/>
  <c r="M11" i="44"/>
  <c r="L11" i="44"/>
  <c r="D11" i="44"/>
  <c r="C11" i="44"/>
  <c r="M10" i="44"/>
  <c r="L10" i="44"/>
  <c r="D10" i="44"/>
  <c r="C10" i="44"/>
  <c r="M9" i="44"/>
  <c r="L9" i="44"/>
  <c r="D9" i="44"/>
  <c r="C9" i="44"/>
  <c r="M8" i="44"/>
  <c r="L8" i="44"/>
  <c r="D8" i="44"/>
  <c r="C8" i="44"/>
  <c r="M7" i="44"/>
  <c r="L7" i="44"/>
  <c r="D7" i="44"/>
  <c r="C7" i="44"/>
  <c r="M6" i="44"/>
  <c r="L6" i="44"/>
  <c r="D6" i="44"/>
  <c r="C6" i="44"/>
  <c r="M5" i="44"/>
  <c r="L5" i="44"/>
  <c r="D5" i="44"/>
  <c r="C5" i="44"/>
  <c r="M4" i="44"/>
  <c r="L4" i="44"/>
  <c r="D4" i="44"/>
  <c r="C4" i="44"/>
  <c r="M24" i="43"/>
  <c r="L24" i="43"/>
  <c r="D24" i="43"/>
  <c r="C24" i="43"/>
  <c r="M23" i="43"/>
  <c r="L23" i="43"/>
  <c r="D23" i="43"/>
  <c r="C23" i="43"/>
  <c r="M22" i="43"/>
  <c r="L22" i="43"/>
  <c r="D22" i="43"/>
  <c r="C22" i="43"/>
  <c r="M21" i="43"/>
  <c r="L21" i="43"/>
  <c r="D21" i="43"/>
  <c r="C21" i="43"/>
  <c r="M20" i="43"/>
  <c r="L20" i="43"/>
  <c r="D20" i="43"/>
  <c r="C20" i="43"/>
  <c r="M19" i="43"/>
  <c r="L19" i="43"/>
  <c r="D19" i="43"/>
  <c r="C19" i="43"/>
  <c r="M18" i="43"/>
  <c r="L18" i="43"/>
  <c r="D18" i="43"/>
  <c r="C18" i="43"/>
  <c r="M17" i="43"/>
  <c r="L17" i="43"/>
  <c r="D17" i="43"/>
  <c r="C17" i="43"/>
  <c r="M16" i="43"/>
  <c r="L16" i="43"/>
  <c r="D16" i="43"/>
  <c r="C16" i="43"/>
  <c r="M15" i="43"/>
  <c r="L15" i="43"/>
  <c r="D15" i="43"/>
  <c r="C15" i="43"/>
  <c r="M14" i="43"/>
  <c r="L14" i="43"/>
  <c r="D14" i="43"/>
  <c r="C14" i="43"/>
  <c r="M13" i="43"/>
  <c r="L13" i="43"/>
  <c r="D13" i="43"/>
  <c r="C13" i="43"/>
  <c r="M12" i="43"/>
  <c r="L12" i="43"/>
  <c r="D12" i="43"/>
  <c r="C12" i="43"/>
  <c r="M11" i="43"/>
  <c r="L11" i="43"/>
  <c r="D11" i="43"/>
  <c r="C11" i="43"/>
  <c r="M10" i="43"/>
  <c r="L10" i="43"/>
  <c r="D10" i="43"/>
  <c r="C10" i="43"/>
  <c r="M9" i="43"/>
  <c r="L9" i="43"/>
  <c r="D9" i="43"/>
  <c r="C9" i="43"/>
  <c r="M8" i="43"/>
  <c r="L8" i="43"/>
  <c r="D8" i="43"/>
  <c r="C8" i="43"/>
  <c r="M7" i="43"/>
  <c r="L7" i="43"/>
  <c r="D7" i="43"/>
  <c r="C7" i="43"/>
  <c r="M6" i="43"/>
  <c r="L6" i="43"/>
  <c r="D6" i="43"/>
  <c r="C6" i="43"/>
  <c r="M5" i="43"/>
  <c r="L5" i="43"/>
  <c r="D5" i="43"/>
  <c r="C5" i="43"/>
  <c r="M4" i="43"/>
  <c r="L4" i="43"/>
  <c r="D4" i="43"/>
  <c r="C4" i="43"/>
  <c r="M24" i="42"/>
  <c r="L24" i="42"/>
  <c r="D24" i="42"/>
  <c r="C24" i="42"/>
  <c r="M23" i="42"/>
  <c r="L23" i="42"/>
  <c r="D23" i="42"/>
  <c r="C23" i="42"/>
  <c r="M22" i="42"/>
  <c r="L22" i="42"/>
  <c r="D22" i="42"/>
  <c r="C22" i="42"/>
  <c r="M21" i="42"/>
  <c r="L21" i="42"/>
  <c r="D21" i="42"/>
  <c r="C21" i="42"/>
  <c r="M20" i="42"/>
  <c r="L20" i="42"/>
  <c r="D20" i="42"/>
  <c r="C20" i="42"/>
  <c r="M19" i="42"/>
  <c r="L19" i="42"/>
  <c r="D19" i="42"/>
  <c r="C19" i="42"/>
  <c r="M18" i="42"/>
  <c r="L18" i="42"/>
  <c r="D18" i="42"/>
  <c r="C18" i="42"/>
  <c r="M17" i="42"/>
  <c r="L17" i="42"/>
  <c r="D17" i="42"/>
  <c r="C17" i="42"/>
  <c r="M16" i="42"/>
  <c r="L16" i="42"/>
  <c r="D16" i="42"/>
  <c r="C16" i="42"/>
  <c r="M15" i="42"/>
  <c r="L15" i="42"/>
  <c r="D15" i="42"/>
  <c r="C15" i="42"/>
  <c r="M14" i="42"/>
  <c r="L14" i="42"/>
  <c r="D14" i="42"/>
  <c r="C14" i="42"/>
  <c r="M13" i="42"/>
  <c r="L13" i="42"/>
  <c r="D13" i="42"/>
  <c r="C13" i="42"/>
  <c r="M12" i="42"/>
  <c r="L12" i="42"/>
  <c r="D12" i="42"/>
  <c r="C12" i="42"/>
  <c r="M11" i="42"/>
  <c r="L11" i="42"/>
  <c r="D11" i="42"/>
  <c r="C11" i="42"/>
  <c r="M10" i="42"/>
  <c r="L10" i="42"/>
  <c r="D10" i="42"/>
  <c r="C10" i="42"/>
  <c r="M9" i="42"/>
  <c r="L9" i="42"/>
  <c r="D9" i="42"/>
  <c r="C9" i="42"/>
  <c r="M8" i="42"/>
  <c r="L8" i="42"/>
  <c r="D8" i="42"/>
  <c r="C8" i="42"/>
  <c r="M7" i="42"/>
  <c r="L7" i="42"/>
  <c r="D7" i="42"/>
  <c r="C7" i="42"/>
  <c r="M6" i="42"/>
  <c r="L6" i="42"/>
  <c r="D6" i="42"/>
  <c r="C6" i="42"/>
  <c r="M5" i="42"/>
  <c r="L5" i="42"/>
  <c r="D5" i="42"/>
  <c r="C5" i="42"/>
  <c r="M4" i="42"/>
  <c r="L4" i="42"/>
  <c r="D4" i="42"/>
  <c r="C4" i="42"/>
  <c r="M24" i="41"/>
  <c r="L24" i="41"/>
  <c r="D24" i="41"/>
  <c r="C24" i="41"/>
  <c r="M23" i="41"/>
  <c r="L23" i="41"/>
  <c r="D23" i="41"/>
  <c r="C23" i="41"/>
  <c r="M22" i="41"/>
  <c r="L22" i="41"/>
  <c r="D22" i="41"/>
  <c r="C22" i="41"/>
  <c r="M21" i="41"/>
  <c r="L21" i="41"/>
  <c r="D21" i="41"/>
  <c r="C21" i="41"/>
  <c r="M20" i="41"/>
  <c r="L20" i="41"/>
  <c r="D20" i="41"/>
  <c r="C20" i="41"/>
  <c r="M19" i="41"/>
  <c r="L19" i="41"/>
  <c r="D19" i="41"/>
  <c r="C19" i="41"/>
  <c r="M18" i="41"/>
  <c r="L18" i="41"/>
  <c r="D18" i="41"/>
  <c r="C18" i="41"/>
  <c r="M17" i="41"/>
  <c r="L17" i="41"/>
  <c r="D17" i="41"/>
  <c r="C17" i="41"/>
  <c r="M16" i="41"/>
  <c r="L16" i="41"/>
  <c r="D16" i="41"/>
  <c r="C16" i="41"/>
  <c r="M15" i="41"/>
  <c r="L15" i="41"/>
  <c r="D15" i="41"/>
  <c r="C15" i="41"/>
  <c r="M14" i="41"/>
  <c r="L14" i="41"/>
  <c r="D14" i="41"/>
  <c r="C14" i="41"/>
  <c r="M13" i="41"/>
  <c r="L13" i="41"/>
  <c r="D13" i="41"/>
  <c r="C13" i="41"/>
  <c r="M12" i="41"/>
  <c r="L12" i="41"/>
  <c r="D12" i="41"/>
  <c r="C12" i="41"/>
  <c r="M11" i="41"/>
  <c r="L11" i="41"/>
  <c r="D11" i="41"/>
  <c r="C11" i="41"/>
  <c r="M10" i="41"/>
  <c r="L10" i="41"/>
  <c r="D10" i="41"/>
  <c r="C10" i="41"/>
  <c r="M9" i="41"/>
  <c r="L9" i="41"/>
  <c r="D9" i="41"/>
  <c r="C9" i="41"/>
  <c r="M8" i="41"/>
  <c r="L8" i="41"/>
  <c r="D8" i="41"/>
  <c r="C8" i="41"/>
  <c r="M7" i="41"/>
  <c r="L7" i="41"/>
  <c r="D7" i="41"/>
  <c r="C7" i="41"/>
  <c r="M6" i="41"/>
  <c r="L6" i="41"/>
  <c r="D6" i="41"/>
  <c r="C6" i="41"/>
  <c r="M5" i="41"/>
  <c r="L5" i="41"/>
  <c r="D5" i="41"/>
  <c r="C5" i="41"/>
  <c r="M4" i="41"/>
  <c r="L4" i="41"/>
  <c r="D4" i="41"/>
  <c r="C4" i="41"/>
  <c r="M24" i="45"/>
  <c r="L24" i="45"/>
  <c r="D24" i="45"/>
  <c r="C24" i="45"/>
  <c r="M23" i="45"/>
  <c r="L23" i="45"/>
  <c r="D23" i="45"/>
  <c r="C23" i="45"/>
  <c r="M22" i="45"/>
  <c r="L22" i="45"/>
  <c r="D22" i="45"/>
  <c r="C22" i="45"/>
  <c r="M21" i="45"/>
  <c r="L21" i="45"/>
  <c r="D21" i="45"/>
  <c r="C21" i="45"/>
  <c r="M20" i="45"/>
  <c r="L20" i="45"/>
  <c r="D20" i="45"/>
  <c r="C20" i="45"/>
  <c r="M19" i="45"/>
  <c r="L19" i="45"/>
  <c r="D19" i="45"/>
  <c r="C19" i="45"/>
  <c r="M18" i="45"/>
  <c r="L18" i="45"/>
  <c r="D18" i="45"/>
  <c r="C18" i="45"/>
  <c r="M17" i="45"/>
  <c r="L17" i="45"/>
  <c r="D17" i="45"/>
  <c r="C17" i="45"/>
  <c r="M16" i="45"/>
  <c r="L16" i="45"/>
  <c r="D16" i="45"/>
  <c r="C16" i="45"/>
  <c r="M15" i="45"/>
  <c r="L15" i="45"/>
  <c r="D15" i="45"/>
  <c r="C15" i="45"/>
  <c r="M14" i="45"/>
  <c r="L14" i="45"/>
  <c r="D14" i="45"/>
  <c r="C14" i="45"/>
  <c r="M13" i="45"/>
  <c r="L13" i="45"/>
  <c r="D13" i="45"/>
  <c r="C13" i="45"/>
  <c r="M12" i="45"/>
  <c r="L12" i="45"/>
  <c r="D12" i="45"/>
  <c r="C12" i="45"/>
  <c r="M11" i="45"/>
  <c r="L11" i="45"/>
  <c r="D11" i="45"/>
  <c r="C11" i="45"/>
  <c r="M10" i="45"/>
  <c r="L10" i="45"/>
  <c r="D10" i="45"/>
  <c r="C10" i="45"/>
  <c r="M9" i="45"/>
  <c r="L9" i="45"/>
  <c r="D9" i="45"/>
  <c r="C9" i="45"/>
  <c r="M8" i="45"/>
  <c r="L8" i="45"/>
  <c r="D8" i="45"/>
  <c r="C8" i="45"/>
  <c r="M7" i="45"/>
  <c r="L7" i="45"/>
  <c r="D7" i="45"/>
  <c r="C7" i="45"/>
  <c r="M6" i="45"/>
  <c r="L6" i="45"/>
  <c r="D6" i="45"/>
  <c r="C6" i="45"/>
  <c r="M5" i="45"/>
  <c r="L5" i="45"/>
  <c r="D5" i="45"/>
  <c r="C5" i="45"/>
  <c r="M4" i="45"/>
  <c r="L4" i="45"/>
  <c r="D4" i="45"/>
  <c r="C4" i="45"/>
  <c r="M24" i="39"/>
  <c r="L24" i="39"/>
  <c r="D24" i="39"/>
  <c r="C24" i="39"/>
  <c r="M23" i="39"/>
  <c r="L23" i="39"/>
  <c r="D23" i="39"/>
  <c r="C23" i="39"/>
  <c r="M22" i="39"/>
  <c r="L22" i="39"/>
  <c r="D22" i="39"/>
  <c r="C22" i="39"/>
  <c r="M21" i="39"/>
  <c r="L21" i="39"/>
  <c r="D21" i="39"/>
  <c r="C21" i="39"/>
  <c r="M20" i="39"/>
  <c r="L20" i="39"/>
  <c r="D20" i="39"/>
  <c r="C20" i="39"/>
  <c r="M19" i="39"/>
  <c r="L19" i="39"/>
  <c r="D19" i="39"/>
  <c r="C19" i="39"/>
  <c r="M18" i="39"/>
  <c r="L18" i="39"/>
  <c r="D18" i="39"/>
  <c r="C18" i="39"/>
  <c r="M17" i="39"/>
  <c r="L17" i="39"/>
  <c r="D17" i="39"/>
  <c r="C17" i="39"/>
  <c r="M16" i="39"/>
  <c r="L16" i="39"/>
  <c r="D16" i="39"/>
  <c r="C16" i="39"/>
  <c r="M15" i="39"/>
  <c r="L15" i="39"/>
  <c r="D15" i="39"/>
  <c r="C15" i="39"/>
  <c r="M14" i="39"/>
  <c r="L14" i="39"/>
  <c r="D14" i="39"/>
  <c r="C14" i="39"/>
  <c r="M13" i="39"/>
  <c r="L13" i="39"/>
  <c r="D13" i="39"/>
  <c r="C13" i="39"/>
  <c r="M12" i="39"/>
  <c r="L12" i="39"/>
  <c r="D12" i="39"/>
  <c r="C12" i="39"/>
  <c r="M11" i="39"/>
  <c r="L11" i="39"/>
  <c r="D11" i="39"/>
  <c r="C11" i="39"/>
  <c r="M10" i="39"/>
  <c r="L10" i="39"/>
  <c r="D10" i="39"/>
  <c r="C10" i="39"/>
  <c r="M9" i="39"/>
  <c r="L9" i="39"/>
  <c r="D9" i="39"/>
  <c r="C9" i="39"/>
  <c r="M8" i="39"/>
  <c r="L8" i="39"/>
  <c r="D8" i="39"/>
  <c r="C8" i="39"/>
  <c r="M7" i="39"/>
  <c r="L7" i="39"/>
  <c r="D7" i="39"/>
  <c r="C7" i="39"/>
  <c r="M6" i="39"/>
  <c r="L6" i="39"/>
  <c r="D6" i="39"/>
  <c r="C6" i="39"/>
  <c r="M5" i="39"/>
  <c r="L5" i="39"/>
  <c r="D5" i="39"/>
  <c r="C5" i="39"/>
  <c r="M4" i="39"/>
  <c r="L4" i="39"/>
  <c r="D4" i="39"/>
  <c r="C4" i="39"/>
  <c r="M24" i="38"/>
  <c r="L24" i="38"/>
  <c r="D24" i="38"/>
  <c r="C24" i="38"/>
  <c r="M23" i="38"/>
  <c r="L23" i="38"/>
  <c r="D23" i="38"/>
  <c r="C23" i="38"/>
  <c r="M22" i="38"/>
  <c r="L22" i="38"/>
  <c r="D22" i="38"/>
  <c r="C22" i="38"/>
  <c r="M21" i="38"/>
  <c r="L21" i="38"/>
  <c r="D21" i="38"/>
  <c r="C21" i="38"/>
  <c r="M20" i="38"/>
  <c r="L20" i="38"/>
  <c r="D20" i="38"/>
  <c r="C20" i="38"/>
  <c r="M19" i="38"/>
  <c r="L19" i="38"/>
  <c r="D19" i="38"/>
  <c r="C19" i="38"/>
  <c r="M18" i="38"/>
  <c r="L18" i="38"/>
  <c r="D18" i="38"/>
  <c r="C18" i="38"/>
  <c r="M17" i="38"/>
  <c r="L17" i="38"/>
  <c r="D17" i="38"/>
  <c r="C17" i="38"/>
  <c r="M16" i="38"/>
  <c r="L16" i="38"/>
  <c r="D16" i="38"/>
  <c r="C16" i="38"/>
  <c r="M15" i="38"/>
  <c r="L15" i="38"/>
  <c r="D15" i="38"/>
  <c r="C15" i="38"/>
  <c r="M14" i="38"/>
  <c r="L14" i="38"/>
  <c r="D14" i="38"/>
  <c r="C14" i="38"/>
  <c r="M13" i="38"/>
  <c r="L13" i="38"/>
  <c r="D13" i="38"/>
  <c r="C13" i="38"/>
  <c r="M12" i="38"/>
  <c r="L12" i="38"/>
  <c r="D12" i="38"/>
  <c r="C12" i="38"/>
  <c r="M11" i="38"/>
  <c r="L11" i="38"/>
  <c r="D11" i="38"/>
  <c r="C11" i="38"/>
  <c r="M10" i="38"/>
  <c r="L10" i="38"/>
  <c r="D10" i="38"/>
  <c r="C10" i="38"/>
  <c r="M9" i="38"/>
  <c r="L9" i="38"/>
  <c r="D9" i="38"/>
  <c r="C9" i="38"/>
  <c r="M8" i="38"/>
  <c r="L8" i="38"/>
  <c r="D8" i="38"/>
  <c r="C8" i="38"/>
  <c r="M7" i="38"/>
  <c r="L7" i="38"/>
  <c r="D7" i="38"/>
  <c r="C7" i="38"/>
  <c r="M6" i="38"/>
  <c r="L6" i="38"/>
  <c r="D6" i="38"/>
  <c r="C6" i="38"/>
  <c r="M5" i="38"/>
  <c r="L5" i="38"/>
  <c r="D5" i="38"/>
  <c r="C5" i="38"/>
  <c r="M4" i="38"/>
  <c r="L4" i="38"/>
  <c r="D4" i="38"/>
  <c r="C4" i="38"/>
  <c r="M24" i="36"/>
  <c r="L24" i="36"/>
  <c r="D24" i="36"/>
  <c r="C24" i="36"/>
  <c r="M23" i="36"/>
  <c r="L23" i="36"/>
  <c r="D23" i="36"/>
  <c r="C23" i="36"/>
  <c r="M22" i="36"/>
  <c r="L22" i="36"/>
  <c r="D22" i="36"/>
  <c r="C22" i="36"/>
  <c r="M21" i="36"/>
  <c r="L21" i="36"/>
  <c r="D21" i="36"/>
  <c r="C21" i="36"/>
  <c r="M20" i="36"/>
  <c r="L20" i="36"/>
  <c r="D20" i="36"/>
  <c r="C20" i="36"/>
  <c r="M19" i="36"/>
  <c r="L19" i="36"/>
  <c r="D19" i="36"/>
  <c r="C19" i="36"/>
  <c r="M18" i="36"/>
  <c r="L18" i="36"/>
  <c r="D18" i="36"/>
  <c r="C18" i="36"/>
  <c r="M17" i="36"/>
  <c r="L17" i="36"/>
  <c r="D17" i="36"/>
  <c r="C17" i="36"/>
  <c r="M16" i="36"/>
  <c r="L16" i="36"/>
  <c r="D16" i="36"/>
  <c r="C16" i="36"/>
  <c r="M15" i="36"/>
  <c r="L15" i="36"/>
  <c r="D15" i="36"/>
  <c r="C15" i="36"/>
  <c r="M14" i="36"/>
  <c r="L14" i="36"/>
  <c r="D14" i="36"/>
  <c r="C14" i="36"/>
  <c r="M13" i="36"/>
  <c r="L13" i="36"/>
  <c r="D13" i="36"/>
  <c r="C13" i="36"/>
  <c r="M12" i="36"/>
  <c r="L12" i="36"/>
  <c r="D12" i="36"/>
  <c r="C12" i="36"/>
  <c r="M11" i="36"/>
  <c r="L11" i="36"/>
  <c r="D11" i="36"/>
  <c r="C11" i="36"/>
  <c r="M10" i="36"/>
  <c r="L10" i="36"/>
  <c r="D10" i="36"/>
  <c r="C10" i="36"/>
  <c r="M9" i="36"/>
  <c r="L9" i="36"/>
  <c r="D9" i="36"/>
  <c r="C9" i="36"/>
  <c r="M8" i="36"/>
  <c r="L8" i="36"/>
  <c r="D8" i="36"/>
  <c r="C8" i="36"/>
  <c r="M7" i="36"/>
  <c r="L7" i="36"/>
  <c r="D7" i="36"/>
  <c r="C7" i="36"/>
  <c r="M6" i="36"/>
  <c r="L6" i="36"/>
  <c r="D6" i="36"/>
  <c r="C6" i="36"/>
  <c r="M5" i="36"/>
  <c r="L5" i="36"/>
  <c r="D5" i="36"/>
  <c r="C5" i="36"/>
  <c r="M4" i="36"/>
  <c r="L4" i="36"/>
  <c r="D4" i="36"/>
  <c r="C4" i="36"/>
  <c r="M24" i="40"/>
  <c r="L24" i="40"/>
  <c r="D24" i="40"/>
  <c r="C24" i="40"/>
  <c r="M23" i="40"/>
  <c r="L23" i="40"/>
  <c r="D23" i="40"/>
  <c r="C23" i="40"/>
  <c r="M22" i="40"/>
  <c r="L22" i="40"/>
  <c r="D22" i="40"/>
  <c r="C22" i="40"/>
  <c r="M21" i="40"/>
  <c r="L21" i="40"/>
  <c r="D21" i="40"/>
  <c r="C21" i="40"/>
  <c r="M20" i="40"/>
  <c r="L20" i="40"/>
  <c r="D20" i="40"/>
  <c r="C20" i="40"/>
  <c r="M19" i="40"/>
  <c r="L19" i="40"/>
  <c r="D19" i="40"/>
  <c r="C19" i="40"/>
  <c r="M18" i="40"/>
  <c r="L18" i="40"/>
  <c r="D18" i="40"/>
  <c r="C18" i="40"/>
  <c r="M17" i="40"/>
  <c r="L17" i="40"/>
  <c r="D17" i="40"/>
  <c r="C17" i="40"/>
  <c r="M16" i="40"/>
  <c r="L16" i="40"/>
  <c r="D16" i="40"/>
  <c r="C16" i="40"/>
  <c r="M15" i="40"/>
  <c r="L15" i="40"/>
  <c r="D15" i="40"/>
  <c r="C15" i="40"/>
  <c r="M14" i="40"/>
  <c r="L14" i="40"/>
  <c r="D14" i="40"/>
  <c r="C14" i="40"/>
  <c r="M13" i="40"/>
  <c r="L13" i="40"/>
  <c r="D13" i="40"/>
  <c r="C13" i="40"/>
  <c r="M12" i="40"/>
  <c r="L12" i="40"/>
  <c r="D12" i="40"/>
  <c r="C12" i="40"/>
  <c r="M11" i="40"/>
  <c r="L11" i="40"/>
  <c r="D11" i="40"/>
  <c r="C11" i="40"/>
  <c r="M10" i="40"/>
  <c r="L10" i="40"/>
  <c r="D10" i="40"/>
  <c r="C10" i="40"/>
  <c r="M9" i="40"/>
  <c r="L9" i="40"/>
  <c r="D9" i="40"/>
  <c r="C9" i="40"/>
  <c r="M8" i="40"/>
  <c r="L8" i="40"/>
  <c r="D8" i="40"/>
  <c r="C8" i="40"/>
  <c r="M7" i="40"/>
  <c r="L7" i="40"/>
  <c r="D7" i="40"/>
  <c r="C7" i="40"/>
  <c r="M6" i="40"/>
  <c r="L6" i="40"/>
  <c r="D6" i="40"/>
  <c r="C6" i="40"/>
  <c r="M5" i="40"/>
  <c r="L5" i="40"/>
  <c r="D5" i="40"/>
  <c r="C5" i="40"/>
  <c r="M4" i="40"/>
  <c r="L4" i="40"/>
  <c r="D4" i="40"/>
  <c r="C4" i="40"/>
</calcChain>
</file>

<file path=xl/sharedStrings.xml><?xml version="1.0" encoding="utf-8"?>
<sst xmlns="http://schemas.openxmlformats.org/spreadsheetml/2006/main" count="8141" uniqueCount="2115">
  <si>
    <t>班級</t>
  </si>
  <si>
    <t>姓名</t>
  </si>
  <si>
    <t>國籍</t>
  </si>
  <si>
    <t>男</t>
  </si>
  <si>
    <t>女</t>
  </si>
  <si>
    <t>套</t>
  </si>
  <si>
    <t>德明</t>
  </si>
  <si>
    <t>1231</t>
  </si>
  <si>
    <t>A</t>
  </si>
  <si>
    <t>B</t>
  </si>
  <si>
    <t>C</t>
  </si>
  <si>
    <t>1251</t>
  </si>
  <si>
    <t>0972</t>
  </si>
  <si>
    <t>0992</t>
  </si>
  <si>
    <t>1012</t>
  </si>
  <si>
    <t>1032</t>
  </si>
  <si>
    <t>1052</t>
  </si>
  <si>
    <t>1072</t>
  </si>
  <si>
    <t>1092</t>
  </si>
  <si>
    <t>1252</t>
  </si>
  <si>
    <t>1272</t>
  </si>
  <si>
    <t>1292</t>
  </si>
  <si>
    <t>1312</t>
  </si>
  <si>
    <t>1332</t>
  </si>
  <si>
    <t>1352</t>
  </si>
  <si>
    <t>1372</t>
  </si>
  <si>
    <t>0973</t>
  </si>
  <si>
    <t>0993</t>
  </si>
  <si>
    <t>1013</t>
  </si>
  <si>
    <t>1033</t>
  </si>
  <si>
    <t>1053</t>
  </si>
  <si>
    <t>1073</t>
  </si>
  <si>
    <t>1093</t>
  </si>
  <si>
    <t>1253</t>
  </si>
  <si>
    <t>1273</t>
  </si>
  <si>
    <t>1293</t>
  </si>
  <si>
    <t>1313</t>
  </si>
  <si>
    <t>1333</t>
  </si>
  <si>
    <t>1353</t>
  </si>
  <si>
    <t>1373</t>
  </si>
  <si>
    <t>0974</t>
  </si>
  <si>
    <t>0994</t>
  </si>
  <si>
    <t>1014</t>
  </si>
  <si>
    <t>1034</t>
  </si>
  <si>
    <t>1054</t>
  </si>
  <si>
    <t>1074</t>
  </si>
  <si>
    <t>1094</t>
  </si>
  <si>
    <t>1254</t>
  </si>
  <si>
    <t>1274</t>
  </si>
  <si>
    <t>1294</t>
  </si>
  <si>
    <t>1314</t>
  </si>
  <si>
    <t>1334</t>
  </si>
  <si>
    <t>1354</t>
  </si>
  <si>
    <t>1374</t>
  </si>
  <si>
    <t>0975</t>
  </si>
  <si>
    <t>0995</t>
  </si>
  <si>
    <t>1015</t>
  </si>
  <si>
    <t>1035</t>
  </si>
  <si>
    <t>1055</t>
  </si>
  <si>
    <t>1075</t>
  </si>
  <si>
    <t>1095</t>
  </si>
  <si>
    <t>1255</t>
  </si>
  <si>
    <t>1275</t>
  </si>
  <si>
    <t>1295</t>
  </si>
  <si>
    <t>1315</t>
  </si>
  <si>
    <t>1335</t>
  </si>
  <si>
    <t>1355</t>
  </si>
  <si>
    <t>1375</t>
  </si>
  <si>
    <t>0976</t>
  </si>
  <si>
    <t>0996</t>
  </si>
  <si>
    <t>1016</t>
  </si>
  <si>
    <t>1036</t>
  </si>
  <si>
    <t>1056</t>
  </si>
  <si>
    <t>1076</t>
  </si>
  <si>
    <t>1096</t>
  </si>
  <si>
    <t>1256</t>
  </si>
  <si>
    <t>1276</t>
  </si>
  <si>
    <t>1296</t>
  </si>
  <si>
    <t>1316</t>
  </si>
  <si>
    <t>1336</t>
  </si>
  <si>
    <t>1356</t>
  </si>
  <si>
    <t>1376</t>
  </si>
  <si>
    <t>0977</t>
  </si>
  <si>
    <t>0997</t>
  </si>
  <si>
    <t>1017</t>
  </si>
  <si>
    <t>1037</t>
  </si>
  <si>
    <t>1057</t>
  </si>
  <si>
    <t>1257</t>
  </si>
  <si>
    <t>1277</t>
  </si>
  <si>
    <t>1297</t>
  </si>
  <si>
    <t>1317</t>
  </si>
  <si>
    <t>1337</t>
  </si>
  <si>
    <t>0831</t>
  </si>
  <si>
    <t>0851</t>
  </si>
  <si>
    <t>0871</t>
  </si>
  <si>
    <t>0891</t>
  </si>
  <si>
    <t>0911</t>
  </si>
  <si>
    <t>0931</t>
  </si>
  <si>
    <t>1111</t>
  </si>
  <si>
    <t>1131</t>
  </si>
  <si>
    <t>1151</t>
  </si>
  <si>
    <t>1171</t>
  </si>
  <si>
    <t>1191</t>
  </si>
  <si>
    <t>1211</t>
  </si>
  <si>
    <t>0832</t>
  </si>
  <si>
    <t>0852</t>
  </si>
  <si>
    <t>0872</t>
  </si>
  <si>
    <t>0892</t>
  </si>
  <si>
    <t>0912</t>
  </si>
  <si>
    <t>0932</t>
  </si>
  <si>
    <t>0952</t>
  </si>
  <si>
    <t>1112</t>
  </si>
  <si>
    <t>1132</t>
  </si>
  <si>
    <t>1152</t>
  </si>
  <si>
    <t>1172</t>
  </si>
  <si>
    <t>1192</t>
  </si>
  <si>
    <t>1212</t>
  </si>
  <si>
    <t>1232</t>
  </si>
  <si>
    <t>0833</t>
  </si>
  <si>
    <t>0853</t>
  </si>
  <si>
    <t>0873</t>
  </si>
  <si>
    <t>0893</t>
  </si>
  <si>
    <t>0913</t>
  </si>
  <si>
    <t>0933</t>
  </si>
  <si>
    <t>0953</t>
  </si>
  <si>
    <t>1113</t>
  </si>
  <si>
    <t>1133</t>
  </si>
  <si>
    <t>1153</t>
  </si>
  <si>
    <t>1173</t>
  </si>
  <si>
    <t>1193</t>
  </si>
  <si>
    <t>1213</t>
  </si>
  <si>
    <t>1233</t>
  </si>
  <si>
    <t>0834</t>
  </si>
  <si>
    <t>0854</t>
  </si>
  <si>
    <t>0874</t>
  </si>
  <si>
    <t>0894</t>
  </si>
  <si>
    <t>0914</t>
  </si>
  <si>
    <t>0934</t>
  </si>
  <si>
    <t>0954</t>
  </si>
  <si>
    <t>1114</t>
  </si>
  <si>
    <t>1134</t>
  </si>
  <si>
    <t>1154</t>
  </si>
  <si>
    <t>1174</t>
  </si>
  <si>
    <t>1194</t>
  </si>
  <si>
    <t>1214</t>
  </si>
  <si>
    <t>1234</t>
  </si>
  <si>
    <t>0835</t>
  </si>
  <si>
    <t>0855</t>
  </si>
  <si>
    <t>0875</t>
  </si>
  <si>
    <t>0895</t>
  </si>
  <si>
    <t>0915</t>
  </si>
  <si>
    <t>0935</t>
  </si>
  <si>
    <t>0955</t>
  </si>
  <si>
    <t>1115</t>
  </si>
  <si>
    <t>1135</t>
  </si>
  <si>
    <t>1155</t>
  </si>
  <si>
    <t>1175</t>
  </si>
  <si>
    <t>1195</t>
  </si>
  <si>
    <t>1215</t>
  </si>
  <si>
    <t>1235</t>
  </si>
  <si>
    <t>0836</t>
  </si>
  <si>
    <t>0856</t>
  </si>
  <si>
    <t>0876</t>
  </si>
  <si>
    <t>0896</t>
  </si>
  <si>
    <t>0916</t>
  </si>
  <si>
    <t>0936</t>
  </si>
  <si>
    <t>0956</t>
  </si>
  <si>
    <t>1116</t>
  </si>
  <si>
    <t>1136</t>
  </si>
  <si>
    <t>1156</t>
  </si>
  <si>
    <t>1176</t>
  </si>
  <si>
    <t>1196</t>
  </si>
  <si>
    <t>1216</t>
  </si>
  <si>
    <t>1236</t>
  </si>
  <si>
    <t>0857</t>
  </si>
  <si>
    <t>0877</t>
  </si>
  <si>
    <t>0897</t>
  </si>
  <si>
    <t>0917</t>
  </si>
  <si>
    <t>0937</t>
  </si>
  <si>
    <t>0957</t>
  </si>
  <si>
    <t>1137</t>
  </si>
  <si>
    <t>1157</t>
  </si>
  <si>
    <t>1177</t>
  </si>
  <si>
    <t>1197</t>
  </si>
  <si>
    <t>1217</t>
  </si>
  <si>
    <t>1237</t>
  </si>
  <si>
    <t>舍</t>
  </si>
  <si>
    <t>姓</t>
  </si>
  <si>
    <t>房</t>
  </si>
  <si>
    <t>床</t>
  </si>
  <si>
    <t>型</t>
  </si>
  <si>
    <t>0913</t>
    <phoneticPr fontId="5" type="noConversion"/>
  </si>
  <si>
    <t>B</t>
    <phoneticPr fontId="5" type="noConversion"/>
  </si>
  <si>
    <t>1214</t>
    <phoneticPr fontId="5" type="noConversion"/>
  </si>
  <si>
    <t>A</t>
    <phoneticPr fontId="5" type="noConversion"/>
  </si>
  <si>
    <t>床號</t>
  </si>
  <si>
    <t>一</t>
  </si>
  <si>
    <t xml:space="preserve">二 </t>
  </si>
  <si>
    <t>三</t>
  </si>
  <si>
    <t>日</t>
  </si>
  <si>
    <t>四</t>
  </si>
  <si>
    <t>姓  名</t>
    <phoneticPr fontId="5" type="noConversion"/>
  </si>
  <si>
    <t>二樓</t>
    <phoneticPr fontId="7" type="noConversion"/>
  </si>
  <si>
    <t>班  級</t>
    <phoneticPr fontId="5" type="noConversion"/>
  </si>
  <si>
    <t>電話</t>
    <phoneticPr fontId="5" type="noConversion"/>
  </si>
  <si>
    <t>學號</t>
    <phoneticPr fontId="5" type="noConversion"/>
  </si>
  <si>
    <t>A</t>
    <phoneticPr fontId="5" type="noConversion"/>
  </si>
  <si>
    <t>C</t>
    <phoneticPr fontId="5" type="noConversion"/>
  </si>
  <si>
    <t>銘傳大學德明宿舍查鋪記錄表男 3F</t>
    <phoneticPr fontId="5" type="noConversion"/>
  </si>
  <si>
    <t>三樓</t>
    <phoneticPr fontId="7" type="noConversion"/>
  </si>
  <si>
    <t>銘傳大學德明宿舍查鋪記錄表男 4F</t>
    <phoneticPr fontId="5" type="noConversion"/>
  </si>
  <si>
    <t>四樓</t>
    <phoneticPr fontId="7" type="noConversion"/>
  </si>
  <si>
    <t>銘傳大學德明宿舍查鋪記錄表男 5F</t>
    <phoneticPr fontId="5" type="noConversion"/>
  </si>
  <si>
    <t>五樓</t>
    <phoneticPr fontId="7" type="noConversion"/>
  </si>
  <si>
    <t>銘傳大學德明宿舍查鋪記錄表男 6F</t>
    <phoneticPr fontId="5" type="noConversion"/>
  </si>
  <si>
    <t>六樓</t>
    <phoneticPr fontId="7" type="noConversion"/>
  </si>
  <si>
    <t>銘傳大學德明宿舍查鋪記錄表男 7F</t>
    <phoneticPr fontId="5" type="noConversion"/>
  </si>
  <si>
    <t>七樓</t>
    <phoneticPr fontId="7" type="noConversion"/>
  </si>
  <si>
    <t>銘傳大學德明宿舍查鋪記錄表女 2F</t>
    <phoneticPr fontId="5" type="noConversion"/>
  </si>
  <si>
    <t>銘傳大學德明宿舍查鋪記錄表女 1F</t>
    <phoneticPr fontId="5" type="noConversion"/>
  </si>
  <si>
    <t>一樓</t>
    <phoneticPr fontId="7" type="noConversion"/>
  </si>
  <si>
    <t>銘傳大學德明宿舍查鋪記錄表女 3F</t>
    <phoneticPr fontId="5" type="noConversion"/>
  </si>
  <si>
    <t>銘傳大學德明宿舍查鋪記錄表女 4F</t>
    <phoneticPr fontId="5" type="noConversion"/>
  </si>
  <si>
    <t>銘傳大學德明宿舍查鋪記錄表女 5F</t>
    <phoneticPr fontId="5" type="noConversion"/>
  </si>
  <si>
    <t>銘傳大學德明宿舍查鋪記錄表女 6F</t>
    <phoneticPr fontId="5" type="noConversion"/>
  </si>
  <si>
    <t>銘傳大學德明宿舍查鋪記錄表女 7F</t>
    <phoneticPr fontId="5" type="noConversion"/>
  </si>
  <si>
    <t>C</t>
    <phoneticPr fontId="5" type="noConversion"/>
  </si>
  <si>
    <t>無</t>
    <phoneticPr fontId="5" type="noConversion"/>
  </si>
  <si>
    <t>銘傳大學德明宿舍查鋪記錄表男 2F</t>
    <phoneticPr fontId="5" type="noConversion"/>
  </si>
  <si>
    <t>3</t>
    <phoneticPr fontId="5" type="noConversion"/>
  </si>
  <si>
    <t>女</t>
    <phoneticPr fontId="5" type="noConversion"/>
  </si>
  <si>
    <t>男</t>
    <phoneticPr fontId="5" type="noConversion"/>
  </si>
  <si>
    <t>林哲維</t>
    <phoneticPr fontId="5" type="noConversion"/>
  </si>
  <si>
    <t>印尼</t>
    <phoneticPr fontId="5" type="noConversion"/>
  </si>
  <si>
    <t>曾衣琁</t>
  </si>
  <si>
    <t>姚雅涵</t>
  </si>
  <si>
    <t>李亭儀</t>
  </si>
  <si>
    <t>黃湘媛</t>
  </si>
  <si>
    <t>秦子涵</t>
  </si>
  <si>
    <t>王靖雯</t>
  </si>
  <si>
    <t>楊雅婷</t>
  </si>
  <si>
    <t>蔡毓琳</t>
  </si>
  <si>
    <t>陳思澐</t>
  </si>
  <si>
    <t>何有容</t>
  </si>
  <si>
    <t>葉柔玗</t>
  </si>
  <si>
    <t>何翠華</t>
  </si>
  <si>
    <t>游妤庭</t>
  </si>
  <si>
    <t>鄭嫄薺</t>
  </si>
  <si>
    <t>黃怡婷</t>
  </si>
  <si>
    <t>李如玲</t>
  </si>
  <si>
    <t>徐靖儒</t>
  </si>
  <si>
    <t>郭翔元</t>
  </si>
  <si>
    <t>蘇晁賢</t>
  </si>
  <si>
    <t>吳俊陞</t>
  </si>
  <si>
    <t>楊宗祐</t>
  </si>
  <si>
    <t>黃博楷</t>
  </si>
  <si>
    <t>11460104</t>
  </si>
  <si>
    <t>曾昱愷</t>
  </si>
  <si>
    <t xml:space="preserve">建築一甲  </t>
  </si>
  <si>
    <t xml:space="preserve">生科一乙  </t>
  </si>
  <si>
    <t xml:space="preserve">醫管一甲  </t>
  </si>
  <si>
    <t xml:space="preserve">應日一甲  </t>
  </si>
  <si>
    <t xml:space="preserve">公行一甲  </t>
  </si>
  <si>
    <t xml:space="preserve">犯防一甲  </t>
  </si>
  <si>
    <t xml:space="preserve">心理一甲  </t>
  </si>
  <si>
    <t>11080512</t>
  </si>
  <si>
    <t>11090381</t>
  </si>
  <si>
    <t xml:space="preserve">資管一丙  </t>
  </si>
  <si>
    <t>11130970</t>
  </si>
  <si>
    <t>11140211</t>
  </si>
  <si>
    <t xml:space="preserve">休憩一甲  </t>
  </si>
  <si>
    <t xml:space="preserve">商設一甲  </t>
  </si>
  <si>
    <t xml:space="preserve">品設一乙  </t>
  </si>
  <si>
    <t xml:space="preserve">生科一甲  </t>
  </si>
  <si>
    <t>11500293</t>
  </si>
  <si>
    <t xml:space="preserve">醫工一甲  </t>
  </si>
  <si>
    <t>11890116</t>
  </si>
  <si>
    <t>11050150</t>
  </si>
  <si>
    <t>11130916</t>
  </si>
  <si>
    <t>11160595</t>
  </si>
  <si>
    <t>11170182</t>
  </si>
  <si>
    <t>11180335</t>
  </si>
  <si>
    <t xml:space="preserve">商設一乙  </t>
  </si>
  <si>
    <t>11210363</t>
  </si>
  <si>
    <t>11210470</t>
  </si>
  <si>
    <t>11210612</t>
  </si>
  <si>
    <t>11230793</t>
  </si>
  <si>
    <t>11360014</t>
  </si>
  <si>
    <t>11360431</t>
  </si>
  <si>
    <t>11360910</t>
  </si>
  <si>
    <t xml:space="preserve">犯防一乙  </t>
  </si>
  <si>
    <t>11390366</t>
  </si>
  <si>
    <t>越南</t>
    <phoneticPr fontId="5" type="noConversion"/>
  </si>
  <si>
    <t>日本</t>
    <phoneticPr fontId="5" type="noConversion"/>
  </si>
  <si>
    <t>0903950508</t>
    <phoneticPr fontId="5" type="noConversion"/>
  </si>
  <si>
    <t>0916567908</t>
    <phoneticPr fontId="5" type="noConversion"/>
  </si>
  <si>
    <t>0979504212</t>
    <phoneticPr fontId="5" type="noConversion"/>
  </si>
  <si>
    <t>0929930409</t>
    <phoneticPr fontId="5" type="noConversion"/>
  </si>
  <si>
    <t>0919472379</t>
    <phoneticPr fontId="5" type="noConversion"/>
  </si>
  <si>
    <t>0981152073</t>
    <phoneticPr fontId="5" type="noConversion"/>
  </si>
  <si>
    <t>0935891971</t>
    <phoneticPr fontId="5" type="noConversion"/>
  </si>
  <si>
    <t>0968827178</t>
    <phoneticPr fontId="5" type="noConversion"/>
  </si>
  <si>
    <t>0908361560</t>
    <phoneticPr fontId="5" type="noConversion"/>
  </si>
  <si>
    <t>0907378198</t>
    <phoneticPr fontId="5" type="noConversion"/>
  </si>
  <si>
    <t>房號</t>
    <phoneticPr fontId="5" type="noConversion"/>
  </si>
  <si>
    <t>0831</t>
    <phoneticPr fontId="5" type="noConversion"/>
  </si>
  <si>
    <t>僑生</t>
    <phoneticPr fontId="5" type="noConversion"/>
  </si>
  <si>
    <t>學籍</t>
    <phoneticPr fontId="5" type="noConversion"/>
  </si>
  <si>
    <t>台灣</t>
    <phoneticPr fontId="5" type="noConversion"/>
  </si>
  <si>
    <t>0917877829</t>
    <phoneticPr fontId="5" type="noConversion"/>
  </si>
  <si>
    <t>12131290</t>
  </si>
  <si>
    <t>李坤隆</t>
  </si>
  <si>
    <t xml:space="preserve">0222911155          </t>
  </si>
  <si>
    <t>12130340</t>
  </si>
  <si>
    <t>林煜晟</t>
  </si>
  <si>
    <t>張子坤</t>
  </si>
  <si>
    <t xml:space="preserve">12130782  </t>
  </si>
  <si>
    <t>張容福</t>
  </si>
  <si>
    <t xml:space="preserve">0906637384          </t>
    <phoneticPr fontId="5" type="noConversion"/>
  </si>
  <si>
    <t>廖昱翔</t>
    <phoneticPr fontId="5" type="noConversion"/>
  </si>
  <si>
    <t>0976210032</t>
    <phoneticPr fontId="5" type="noConversion"/>
  </si>
  <si>
    <t xml:space="preserve">12050804  </t>
  </si>
  <si>
    <t>黃晨洲</t>
  </si>
  <si>
    <t xml:space="preserve">12050696  </t>
  </si>
  <si>
    <t>蔡承佑</t>
  </si>
  <si>
    <t xml:space="preserve">0902159795          </t>
    <phoneticPr fontId="5" type="noConversion"/>
  </si>
  <si>
    <t xml:space="preserve">12370601  </t>
  </si>
  <si>
    <t>曾楷程</t>
  </si>
  <si>
    <t>12750395</t>
    <phoneticPr fontId="5" type="noConversion"/>
  </si>
  <si>
    <t>鍾立維</t>
    <phoneticPr fontId="5" type="noConversion"/>
  </si>
  <si>
    <t>0911383121</t>
    <phoneticPr fontId="5" type="noConversion"/>
  </si>
  <si>
    <t>10483760</t>
    <phoneticPr fontId="5" type="noConversion"/>
  </si>
  <si>
    <t>武俊興</t>
    <phoneticPr fontId="5" type="noConversion"/>
  </si>
  <si>
    <t>12751054</t>
  </si>
  <si>
    <t>翁晟泰</t>
  </si>
  <si>
    <t>12400396</t>
  </si>
  <si>
    <t>王佑鈞</t>
  </si>
  <si>
    <t>張鈞皓</t>
  </si>
  <si>
    <t>何雋詠</t>
    <phoneticPr fontId="5" type="noConversion"/>
  </si>
  <si>
    <t>0963676346</t>
    <phoneticPr fontId="5" type="noConversion"/>
  </si>
  <si>
    <t>11363016</t>
    <phoneticPr fontId="5" type="noConversion"/>
  </si>
  <si>
    <t>張頌恩</t>
    <phoneticPr fontId="5" type="noConversion"/>
  </si>
  <si>
    <t>0929290524</t>
    <phoneticPr fontId="5" type="noConversion"/>
  </si>
  <si>
    <t>11193074</t>
    <phoneticPr fontId="5" type="noConversion"/>
  </si>
  <si>
    <t>江臣俊</t>
    <phoneticPr fontId="5" type="noConversion"/>
  </si>
  <si>
    <t>0960990096</t>
    <phoneticPr fontId="5" type="noConversion"/>
  </si>
  <si>
    <t xml:space="preserve">12390534  </t>
  </si>
  <si>
    <t>廖俊甫</t>
  </si>
  <si>
    <t xml:space="preserve">12670275  </t>
  </si>
  <si>
    <t>邵証唯</t>
  </si>
  <si>
    <t xml:space="preserve">0933809377          </t>
    <phoneticPr fontId="5" type="noConversion"/>
  </si>
  <si>
    <t>張昱翔</t>
  </si>
  <si>
    <t>0976204860</t>
    <phoneticPr fontId="5" type="noConversion"/>
  </si>
  <si>
    <t xml:space="preserve">12751045  </t>
  </si>
  <si>
    <t>朱宸緯</t>
  </si>
  <si>
    <t xml:space="preserve">0965253706          </t>
    <phoneticPr fontId="5" type="noConversion"/>
  </si>
  <si>
    <t xml:space="preserve">12751020  </t>
  </si>
  <si>
    <t>陳麒宇</t>
  </si>
  <si>
    <t xml:space="preserve">12750822  </t>
  </si>
  <si>
    <t>鄭誌元</t>
  </si>
  <si>
    <t>黃于軒</t>
  </si>
  <si>
    <t>蕭以昀</t>
  </si>
  <si>
    <t xml:space="preserve">資工二甲  </t>
  </si>
  <si>
    <t xml:space="preserve">生科二甲  </t>
  </si>
  <si>
    <t>吳涬妤</t>
  </si>
  <si>
    <t>0902282571</t>
  </si>
  <si>
    <t>許百惠</t>
    <phoneticPr fontId="5" type="noConversion"/>
  </si>
  <si>
    <t>0938546623</t>
    <phoneticPr fontId="5" type="noConversion"/>
  </si>
  <si>
    <t xml:space="preserve">資管二丙  </t>
  </si>
  <si>
    <t>黃芊穎</t>
  </si>
  <si>
    <t>葉　芃</t>
  </si>
  <si>
    <t xml:space="preserve">0978479318          </t>
  </si>
  <si>
    <t>洪彤宜</t>
  </si>
  <si>
    <t xml:space="preserve">0908690615          </t>
  </si>
  <si>
    <t xml:space="preserve">醫工二甲  </t>
  </si>
  <si>
    <t>邱羿慈</t>
  </si>
  <si>
    <t>12131183</t>
  </si>
  <si>
    <t>楊旻芯</t>
  </si>
  <si>
    <t>周家伃</t>
  </si>
  <si>
    <t>12440256</t>
  </si>
  <si>
    <t>洪瑋赯</t>
  </si>
  <si>
    <t>陳依綺</t>
  </si>
  <si>
    <t>侯淯宸</t>
  </si>
  <si>
    <t>古羽庭</t>
  </si>
  <si>
    <t>0952367130</t>
    <phoneticPr fontId="5" type="noConversion"/>
  </si>
  <si>
    <t>0977376556</t>
    <phoneticPr fontId="5" type="noConversion"/>
  </si>
  <si>
    <t>0929270006</t>
    <phoneticPr fontId="5" type="noConversion"/>
  </si>
  <si>
    <t>0903798163</t>
    <phoneticPr fontId="5" type="noConversion"/>
  </si>
  <si>
    <t>0970035817</t>
    <phoneticPr fontId="5" type="noConversion"/>
  </si>
  <si>
    <t>12370653</t>
    <phoneticPr fontId="5" type="noConversion"/>
  </si>
  <si>
    <t>古承軒</t>
    <phoneticPr fontId="5" type="noConversion"/>
  </si>
  <si>
    <t>0978042218</t>
    <phoneticPr fontId="5" type="noConversion"/>
  </si>
  <si>
    <t>郭昱暐</t>
    <phoneticPr fontId="5" type="noConversion"/>
  </si>
  <si>
    <t>0928675519</t>
    <phoneticPr fontId="5" type="noConversion"/>
  </si>
  <si>
    <t>黎柏煇</t>
    <phoneticPr fontId="5" type="noConversion"/>
  </si>
  <si>
    <t>0968691020</t>
    <phoneticPr fontId="5" type="noConversion"/>
  </si>
  <si>
    <t>學位生</t>
    <phoneticPr fontId="5" type="noConversion"/>
  </si>
  <si>
    <t>犯防二乙</t>
    <phoneticPr fontId="5" type="noConversion"/>
  </si>
  <si>
    <t>張宸愷</t>
  </si>
  <si>
    <t>0909977931</t>
    <phoneticPr fontId="5" type="noConversion"/>
  </si>
  <si>
    <t>何易昕</t>
  </si>
  <si>
    <t>0979515600</t>
    <phoneticPr fontId="5" type="noConversion"/>
  </si>
  <si>
    <t>陳樂奇</t>
  </si>
  <si>
    <t>資工二甲</t>
  </si>
  <si>
    <t>數媒二甲</t>
  </si>
  <si>
    <t>身分</t>
    <phoneticPr fontId="5" type="noConversion"/>
  </si>
  <si>
    <t>註2</t>
    <phoneticPr fontId="5" type="noConversion"/>
  </si>
  <si>
    <t>趙宇晟</t>
  </si>
  <si>
    <t>0908503217</t>
    <phoneticPr fontId="5" type="noConversion"/>
  </si>
  <si>
    <t>13210493</t>
  </si>
  <si>
    <t>林健楷</t>
  </si>
  <si>
    <t>13131404</t>
  </si>
  <si>
    <t>徐良祁</t>
  </si>
  <si>
    <t xml:space="preserve">0981806815          </t>
  </si>
  <si>
    <t>馮建鈞</t>
  </si>
  <si>
    <t>0968237688</t>
    <phoneticPr fontId="5" type="noConversion"/>
  </si>
  <si>
    <t>品設二甲</t>
  </si>
  <si>
    <t>12370635</t>
    <phoneticPr fontId="5" type="noConversion"/>
  </si>
  <si>
    <t>0968601360</t>
    <phoneticPr fontId="5" type="noConversion"/>
  </si>
  <si>
    <t xml:space="preserve">觀光三甲  </t>
  </si>
  <si>
    <t>王廉程</t>
  </si>
  <si>
    <t>0902211929</t>
    <phoneticPr fontId="5" type="noConversion"/>
  </si>
  <si>
    <t>應日二甲</t>
  </si>
  <si>
    <t>13360110</t>
  </si>
  <si>
    <t>詹少祺</t>
  </si>
  <si>
    <t xml:space="preserve">0966523755          </t>
  </si>
  <si>
    <t>13360454</t>
  </si>
  <si>
    <t>葉俊佑</t>
  </si>
  <si>
    <t xml:space="preserve">0979598832          </t>
  </si>
  <si>
    <t>13050502</t>
  </si>
  <si>
    <t>陳璽仲</t>
  </si>
  <si>
    <t xml:space="preserve">0932527480          </t>
  </si>
  <si>
    <t>觀光學程四</t>
  </si>
  <si>
    <t>13050093</t>
  </si>
  <si>
    <t xml:space="preserve">0936881903          </t>
  </si>
  <si>
    <t>13366043</t>
    <phoneticPr fontId="5" type="noConversion"/>
  </si>
  <si>
    <t>觀光四甲</t>
  </si>
  <si>
    <t>黃文豐</t>
  </si>
  <si>
    <t>王勇興</t>
  </si>
  <si>
    <t>0927797519</t>
    <phoneticPr fontId="5" type="noConversion"/>
  </si>
  <si>
    <t>13370465</t>
  </si>
  <si>
    <t>王俊霖</t>
  </si>
  <si>
    <t xml:space="preserve">0979527629          </t>
  </si>
  <si>
    <t>林志強</t>
  </si>
  <si>
    <t>陳睿軒</t>
  </si>
  <si>
    <t>13370271</t>
  </si>
  <si>
    <t>許哲惟</t>
  </si>
  <si>
    <t xml:space="preserve">0936319253          </t>
  </si>
  <si>
    <t>金科學程二</t>
  </si>
  <si>
    <t xml:space="preserve">數媒三乙  </t>
  </si>
  <si>
    <t>13370103</t>
  </si>
  <si>
    <t>李文宏</t>
  </si>
  <si>
    <t xml:space="preserve">0905599913          </t>
  </si>
  <si>
    <t>外交學程三</t>
  </si>
  <si>
    <t>13670106</t>
  </si>
  <si>
    <t xml:space="preserve">0906661682          </t>
  </si>
  <si>
    <t>13750075</t>
  </si>
  <si>
    <t>呂耕豪</t>
  </si>
  <si>
    <t xml:space="preserve">0972188316          </t>
  </si>
  <si>
    <t>魏佑澄</t>
  </si>
  <si>
    <t xml:space="preserve">應日二甲  </t>
  </si>
  <si>
    <t>13750474</t>
  </si>
  <si>
    <t>曾允亮</t>
  </si>
  <si>
    <t xml:space="preserve">0937798639          </t>
  </si>
  <si>
    <t>13370023</t>
  </si>
  <si>
    <t>卞思甯</t>
  </si>
  <si>
    <t xml:space="preserve">公行二甲  </t>
  </si>
  <si>
    <t>13460136</t>
  </si>
  <si>
    <t>蘇郅琦</t>
  </si>
  <si>
    <t>陳宣妤</t>
  </si>
  <si>
    <t xml:space="preserve">心理一乙  </t>
  </si>
  <si>
    <t>公行三甲</t>
  </si>
  <si>
    <t>犯防二乙</t>
  </si>
  <si>
    <t>謝昀諼</t>
  </si>
  <si>
    <t>0979928213</t>
    <phoneticPr fontId="5" type="noConversion"/>
  </si>
  <si>
    <t>林苡庭</t>
  </si>
  <si>
    <t>陳昱瑄</t>
  </si>
  <si>
    <t>金科學程四</t>
  </si>
  <si>
    <t>黃子晅</t>
  </si>
  <si>
    <t>心理三乙</t>
  </si>
  <si>
    <t>陳嘉敏</t>
  </si>
  <si>
    <t>心理四甲</t>
  </si>
  <si>
    <t xml:space="preserve">生科三甲  </t>
  </si>
  <si>
    <t>13441153</t>
  </si>
  <si>
    <t>陳沛凡</t>
  </si>
  <si>
    <t xml:space="preserve">0968155906          </t>
  </si>
  <si>
    <t>13616132</t>
  </si>
  <si>
    <t>蘇穎慧</t>
  </si>
  <si>
    <t>張詠婷</t>
  </si>
  <si>
    <t xml:space="preserve">心理二甲  </t>
  </si>
  <si>
    <t>饒嘉倚</t>
  </si>
  <si>
    <t>13130622</t>
  </si>
  <si>
    <t>陳佩沂</t>
  </si>
  <si>
    <t xml:space="preserve">0933307170          </t>
  </si>
  <si>
    <t>商設四甲</t>
  </si>
  <si>
    <t>13601154</t>
  </si>
  <si>
    <t>游佩蓉</t>
  </si>
  <si>
    <t xml:space="preserve">0905345768          </t>
  </si>
  <si>
    <t>13601120</t>
  </si>
  <si>
    <t>何寬心</t>
  </si>
  <si>
    <t xml:space="preserve">0906955366          </t>
  </si>
  <si>
    <t>外交學程二</t>
  </si>
  <si>
    <t>13381313</t>
  </si>
  <si>
    <t>楊芷柔</t>
  </si>
  <si>
    <t xml:space="preserve">0966255995          </t>
  </si>
  <si>
    <t>13680561</t>
  </si>
  <si>
    <t>林子琳</t>
  </si>
  <si>
    <t xml:space="preserve">0968090716          </t>
  </si>
  <si>
    <t>經濟四甲</t>
  </si>
  <si>
    <t>13391103</t>
  </si>
  <si>
    <t>李之尹</t>
  </si>
  <si>
    <t xml:space="preserve">0983356158          </t>
  </si>
  <si>
    <t>13130533</t>
  </si>
  <si>
    <t xml:space="preserve">資管一甲  </t>
  </si>
  <si>
    <t>徐千詠</t>
  </si>
  <si>
    <t xml:space="preserve">0910776670          </t>
  </si>
  <si>
    <t>13601040</t>
  </si>
  <si>
    <t>莊芷妮</t>
  </si>
  <si>
    <t xml:space="preserve">0965603777          </t>
  </si>
  <si>
    <t>13640134</t>
  </si>
  <si>
    <t>許昱涵</t>
  </si>
  <si>
    <t xml:space="preserve">0905539532          </t>
  </si>
  <si>
    <t>13391075</t>
  </si>
  <si>
    <t>潘奕帆</t>
  </si>
  <si>
    <t xml:space="preserve">0919163296          </t>
  </si>
  <si>
    <t>13680251</t>
  </si>
  <si>
    <t>徐梓寧</t>
  </si>
  <si>
    <t xml:space="preserve">0958350629          </t>
  </si>
  <si>
    <t>13140190</t>
  </si>
  <si>
    <t>王英慈</t>
  </si>
  <si>
    <t xml:space="preserve">0918093060          </t>
  </si>
  <si>
    <t>陳明萱</t>
  </si>
  <si>
    <t>0971206520</t>
    <phoneticPr fontId="5" type="noConversion"/>
  </si>
  <si>
    <t>葉家妤</t>
  </si>
  <si>
    <t>宋怡萱</t>
  </si>
  <si>
    <t xml:space="preserve">陳恩萱 </t>
  </si>
  <si>
    <t>李瑋庭</t>
  </si>
  <si>
    <t>林宜蘋</t>
  </si>
  <si>
    <t>吳岳音</t>
  </si>
  <si>
    <t>0905262103</t>
    <phoneticPr fontId="5" type="noConversion"/>
  </si>
  <si>
    <t>張芷熏</t>
  </si>
  <si>
    <t>數媒二乙</t>
  </si>
  <si>
    <t xml:space="preserve">商設三甲  </t>
  </si>
  <si>
    <t>顧善美</t>
  </si>
  <si>
    <t>0966692592</t>
    <phoneticPr fontId="5" type="noConversion"/>
  </si>
  <si>
    <t>吳旻恩</t>
  </si>
  <si>
    <t>0965324268</t>
    <phoneticPr fontId="5" type="noConversion"/>
  </si>
  <si>
    <t>0901323980</t>
    <phoneticPr fontId="5" type="noConversion"/>
  </si>
  <si>
    <t>商設三乙</t>
  </si>
  <si>
    <t>徐予婷</t>
  </si>
  <si>
    <t>0909986150</t>
    <phoneticPr fontId="5" type="noConversion"/>
  </si>
  <si>
    <t>資管三甲</t>
  </si>
  <si>
    <t>邱梓芸</t>
    <phoneticPr fontId="5" type="noConversion"/>
  </si>
  <si>
    <t>0906582210</t>
    <phoneticPr fontId="5" type="noConversion"/>
  </si>
  <si>
    <t>應英二甲</t>
  </si>
  <si>
    <t>葉宣妤</t>
  </si>
  <si>
    <t>0965301528</t>
    <phoneticPr fontId="5" type="noConversion"/>
  </si>
  <si>
    <t>鄭維庭</t>
  </si>
  <si>
    <t xml:space="preserve">商設四甲  </t>
  </si>
  <si>
    <t xml:space="preserve">品設三乙  </t>
  </si>
  <si>
    <t>0971406555</t>
    <phoneticPr fontId="5" type="noConversion"/>
  </si>
  <si>
    <t xml:space="preserve">0900601995          </t>
    <phoneticPr fontId="5" type="noConversion"/>
  </si>
  <si>
    <t>0909255223</t>
    <phoneticPr fontId="5" type="noConversion"/>
  </si>
  <si>
    <t>達亮銜</t>
    <phoneticPr fontId="5" type="noConversion"/>
  </si>
  <si>
    <t>0976473772</t>
    <phoneticPr fontId="5" type="noConversion"/>
  </si>
  <si>
    <t>0958699414</t>
    <phoneticPr fontId="5" type="noConversion"/>
  </si>
  <si>
    <t>12230482</t>
    <phoneticPr fontId="5" type="noConversion"/>
  </si>
  <si>
    <t>12090485</t>
    <phoneticPr fontId="5" type="noConversion"/>
  </si>
  <si>
    <t>0906651143</t>
    <phoneticPr fontId="5" type="noConversion"/>
  </si>
  <si>
    <t>0980729007</t>
    <phoneticPr fontId="5" type="noConversion"/>
  </si>
  <si>
    <t>0952298373</t>
    <phoneticPr fontId="5" type="noConversion"/>
  </si>
  <si>
    <t>觀光學程三</t>
    <phoneticPr fontId="5" type="noConversion"/>
  </si>
  <si>
    <t>葉仲詠</t>
    <phoneticPr fontId="5" type="noConversion"/>
  </si>
  <si>
    <t>0905600774</t>
    <phoneticPr fontId="5" type="noConversion"/>
  </si>
  <si>
    <t>0916181145</t>
    <phoneticPr fontId="5" type="noConversion"/>
  </si>
  <si>
    <t>范黃江</t>
    <phoneticPr fontId="5" type="noConversion"/>
  </si>
  <si>
    <t>謝淳雅</t>
    <phoneticPr fontId="5" type="noConversion"/>
  </si>
  <si>
    <t>陳寶山</t>
    <phoneticPr fontId="5" type="noConversion"/>
  </si>
  <si>
    <t>0918155739</t>
    <phoneticPr fontId="5" type="noConversion"/>
  </si>
  <si>
    <t>陳冠憲</t>
    <phoneticPr fontId="5" type="noConversion"/>
  </si>
  <si>
    <t>交換生</t>
    <phoneticPr fontId="5" type="noConversion"/>
  </si>
  <si>
    <t>國際生</t>
    <phoneticPr fontId="5" type="noConversion"/>
  </si>
  <si>
    <t>本地生</t>
    <phoneticPr fontId="5" type="noConversion"/>
  </si>
  <si>
    <t>桃</t>
    <phoneticPr fontId="5" type="noConversion"/>
  </si>
  <si>
    <t>葉羿彣</t>
    <phoneticPr fontId="5" type="noConversion"/>
  </si>
  <si>
    <t>0966651498</t>
    <phoneticPr fontId="5" type="noConversion"/>
  </si>
  <si>
    <t>特教生</t>
    <phoneticPr fontId="5" type="noConversion"/>
  </si>
  <si>
    <t>村田瑛斗</t>
    <phoneticPr fontId="5" type="noConversion"/>
  </si>
  <si>
    <t>應日研一</t>
    <phoneticPr fontId="5" type="noConversion"/>
  </si>
  <si>
    <t>性別:</t>
    <phoneticPr fontId="5" type="noConversion"/>
  </si>
  <si>
    <t>男生</t>
    <phoneticPr fontId="5" type="noConversion"/>
  </si>
  <si>
    <t>女生</t>
    <phoneticPr fontId="5" type="noConversion"/>
  </si>
  <si>
    <t>備註</t>
    <phoneticPr fontId="38" type="noConversion"/>
  </si>
  <si>
    <t>總床數:</t>
    <phoneticPr fontId="5" type="noConversion"/>
  </si>
  <si>
    <t>研修生(陸生):</t>
    <phoneticPr fontId="5" type="noConversion"/>
  </si>
  <si>
    <t>教師(大陸籍):</t>
    <phoneticPr fontId="5" type="noConversion"/>
  </si>
  <si>
    <t>總  計:</t>
    <phoneticPr fontId="5" type="noConversion"/>
  </si>
  <si>
    <t>總計</t>
    <phoneticPr fontId="5" type="noConversion"/>
  </si>
  <si>
    <t>0987186915</t>
    <phoneticPr fontId="5" type="noConversion"/>
  </si>
  <si>
    <t>中國</t>
    <phoneticPr fontId="5" type="noConversion"/>
  </si>
  <si>
    <t>數媒三甲</t>
  </si>
  <si>
    <t>13592021</t>
    <phoneticPr fontId="39" type="noConversion"/>
  </si>
  <si>
    <t>鈴木雄津人</t>
    <phoneticPr fontId="39" type="noConversion"/>
  </si>
  <si>
    <t>范明德</t>
    <phoneticPr fontId="5" type="noConversion"/>
  </si>
  <si>
    <t>阮慶林</t>
    <phoneticPr fontId="5" type="noConversion"/>
  </si>
  <si>
    <t>黎聲河</t>
    <phoneticPr fontId="5" type="noConversion"/>
  </si>
  <si>
    <t>0987158391</t>
    <phoneticPr fontId="5" type="noConversion"/>
  </si>
  <si>
    <t>0983447151</t>
    <phoneticPr fontId="5" type="noConversion"/>
  </si>
  <si>
    <t>0989894143</t>
    <phoneticPr fontId="5" type="noConversion"/>
  </si>
  <si>
    <t>13013706</t>
  </si>
  <si>
    <t>胡潘雲傑</t>
  </si>
  <si>
    <t>13015855</t>
  </si>
  <si>
    <t>鄧嘉輝</t>
  </si>
  <si>
    <t>13015882</t>
  </si>
  <si>
    <t>裴孟林</t>
  </si>
  <si>
    <t>13015901</t>
  </si>
  <si>
    <t>阮玉卿</t>
  </si>
  <si>
    <t>13013822</t>
  </si>
  <si>
    <t>陳光榮</t>
  </si>
  <si>
    <t>13011335</t>
  </si>
  <si>
    <t>武菲陽</t>
  </si>
  <si>
    <t>13013635</t>
  </si>
  <si>
    <t>陳清純</t>
  </si>
  <si>
    <t>13010040</t>
  </si>
  <si>
    <t>陳文決</t>
  </si>
  <si>
    <t>13011175</t>
  </si>
  <si>
    <t>陳明芳</t>
  </si>
  <si>
    <t>13011230</t>
  </si>
  <si>
    <t>阮庭戰勝</t>
  </si>
  <si>
    <t>13013361</t>
  </si>
  <si>
    <t>武庭營</t>
  </si>
  <si>
    <t>13015625</t>
  </si>
  <si>
    <t>范玉艷</t>
  </si>
  <si>
    <t>13015394</t>
  </si>
  <si>
    <t>范友榮</t>
  </si>
  <si>
    <t>13011184</t>
  </si>
  <si>
    <t>鄧日新</t>
  </si>
  <si>
    <t>13015376</t>
  </si>
  <si>
    <t>阮懷安</t>
  </si>
  <si>
    <t>13011380</t>
  </si>
  <si>
    <t>范孟越</t>
  </si>
  <si>
    <t>13015821</t>
  </si>
  <si>
    <t>阮明珠</t>
  </si>
  <si>
    <t>國專班</t>
    <phoneticPr fontId="5" type="noConversion"/>
  </si>
  <si>
    <t>13011424</t>
  </si>
  <si>
    <t>範世英</t>
  </si>
  <si>
    <t>13011282</t>
  </si>
  <si>
    <t>阮俊傑</t>
  </si>
  <si>
    <t>13015784</t>
  </si>
  <si>
    <t>黃氏海絨</t>
  </si>
  <si>
    <t>13013165</t>
  </si>
  <si>
    <t>阮玄妝</t>
  </si>
  <si>
    <t>13013591</t>
  </si>
  <si>
    <t>張懷玲</t>
  </si>
  <si>
    <t>13015385</t>
  </si>
  <si>
    <t>武氏玲</t>
  </si>
  <si>
    <t>13015324</t>
  </si>
  <si>
    <t>黃氏海燕</t>
  </si>
  <si>
    <t>資工系</t>
    <phoneticPr fontId="5" type="noConversion"/>
  </si>
  <si>
    <t>都防系</t>
    <phoneticPr fontId="5" type="noConversion"/>
  </si>
  <si>
    <t>0970100997</t>
    <phoneticPr fontId="5" type="noConversion"/>
  </si>
  <si>
    <t>0981850438</t>
    <phoneticPr fontId="5" type="noConversion"/>
  </si>
  <si>
    <t>0970101038</t>
    <phoneticPr fontId="5" type="noConversion"/>
  </si>
  <si>
    <t>0966742811</t>
    <phoneticPr fontId="5" type="noConversion"/>
  </si>
  <si>
    <t>0970100983</t>
    <phoneticPr fontId="5" type="noConversion"/>
  </si>
  <si>
    <t>0968049489</t>
    <phoneticPr fontId="5" type="noConversion"/>
  </si>
  <si>
    <t>0912530843</t>
    <phoneticPr fontId="5" type="noConversion"/>
  </si>
  <si>
    <t>0916853465</t>
    <phoneticPr fontId="5" type="noConversion"/>
  </si>
  <si>
    <t>0983884550</t>
    <phoneticPr fontId="5" type="noConversion"/>
  </si>
  <si>
    <t>0903365774</t>
    <phoneticPr fontId="5" type="noConversion"/>
  </si>
  <si>
    <t>0970107905</t>
    <phoneticPr fontId="5" type="noConversion"/>
  </si>
  <si>
    <t>0989720544</t>
    <phoneticPr fontId="5" type="noConversion"/>
  </si>
  <si>
    <t>0987572995</t>
    <phoneticPr fontId="5" type="noConversion"/>
  </si>
  <si>
    <t>0987572986</t>
    <phoneticPr fontId="5" type="noConversion"/>
  </si>
  <si>
    <t>0900358394</t>
    <phoneticPr fontId="5" type="noConversion"/>
  </si>
  <si>
    <t>吳承峰</t>
    <phoneticPr fontId="5" type="noConversion"/>
  </si>
  <si>
    <t>0900067715</t>
    <phoneticPr fontId="5" type="noConversion"/>
  </si>
  <si>
    <t>達布多</t>
    <phoneticPr fontId="5" type="noConversion"/>
  </si>
  <si>
    <t>修業</t>
    <phoneticPr fontId="5" type="noConversion"/>
  </si>
  <si>
    <t>4年</t>
    <phoneticPr fontId="5" type="noConversion"/>
  </si>
  <si>
    <t>1+4年</t>
    <phoneticPr fontId="5" type="noConversion"/>
  </si>
  <si>
    <t>1年</t>
    <phoneticPr fontId="5" type="noConversion"/>
  </si>
  <si>
    <t>統計</t>
    <phoneticPr fontId="5" type="noConversion"/>
  </si>
  <si>
    <t>外籍生:</t>
    <phoneticPr fontId="5" type="noConversion"/>
  </si>
  <si>
    <t>僑生:</t>
    <phoneticPr fontId="5" type="noConversion"/>
  </si>
  <si>
    <t>本地生:</t>
    <phoneticPr fontId="5" type="noConversion"/>
  </si>
  <si>
    <t>空床數:</t>
    <phoneticPr fontId="5" type="noConversion"/>
  </si>
  <si>
    <t>諾魯</t>
    <phoneticPr fontId="5" type="noConversion"/>
  </si>
  <si>
    <t>0967243694</t>
    <phoneticPr fontId="38" type="noConversion"/>
  </si>
  <si>
    <t>0979195310</t>
    <phoneticPr fontId="5" type="noConversion"/>
  </si>
  <si>
    <t>0981640126</t>
    <phoneticPr fontId="5" type="noConversion"/>
  </si>
  <si>
    <t>0926581845</t>
    <phoneticPr fontId="5" type="noConversion"/>
  </si>
  <si>
    <t>0984155341</t>
    <phoneticPr fontId="5" type="noConversion"/>
  </si>
  <si>
    <t>蒙古</t>
    <phoneticPr fontId="5" type="noConversion"/>
  </si>
  <si>
    <t>14230090</t>
  </si>
  <si>
    <t>蘇煒翔</t>
  </si>
  <si>
    <t xml:space="preserve">0926155933          </t>
  </si>
  <si>
    <t>14131092</t>
  </si>
  <si>
    <t>林鈺博</t>
  </si>
  <si>
    <t xml:space="preserve">0965821700          </t>
  </si>
  <si>
    <t>14130274</t>
  </si>
  <si>
    <t>郭廷祐</t>
  </si>
  <si>
    <t xml:space="preserve">0905530261          </t>
  </si>
  <si>
    <t>14361465</t>
  </si>
  <si>
    <t>王秉淳</t>
  </si>
  <si>
    <t xml:space="preserve">0909423307          </t>
  </si>
  <si>
    <t>14190963</t>
  </si>
  <si>
    <t xml:space="preserve">餐旅一甲  </t>
    <phoneticPr fontId="5" type="noConversion"/>
  </si>
  <si>
    <t>鍾智峰</t>
  </si>
  <si>
    <t>巴西</t>
    <phoneticPr fontId="5" type="noConversion"/>
  </si>
  <si>
    <t>14360170</t>
  </si>
  <si>
    <t>楊宇紘</t>
  </si>
  <si>
    <t xml:space="preserve">0958362322          </t>
  </si>
  <si>
    <t>14360223</t>
  </si>
  <si>
    <t>馬弘儒</t>
  </si>
  <si>
    <t xml:space="preserve">0958667735          </t>
  </si>
  <si>
    <t xml:space="preserve">資管四甲  </t>
  </si>
  <si>
    <t>14140340</t>
  </si>
  <si>
    <t>許竣輔</t>
  </si>
  <si>
    <t xml:space="preserve">0983515185          </t>
  </si>
  <si>
    <t>14180295</t>
  </si>
  <si>
    <t>吳承啟</t>
  </si>
  <si>
    <t xml:space="preserve">0900774689          </t>
  </si>
  <si>
    <t xml:space="preserve">0937166392          </t>
  </si>
  <si>
    <t>14180261</t>
  </si>
  <si>
    <t>蕭亦綸</t>
  </si>
  <si>
    <t xml:space="preserve">0958712770          </t>
  </si>
  <si>
    <t>14180022</t>
  </si>
  <si>
    <t>李偉綸</t>
  </si>
  <si>
    <t xml:space="preserve">0981416091          </t>
  </si>
  <si>
    <t xml:space="preserve">087776475           </t>
  </si>
  <si>
    <t>14190192</t>
  </si>
  <si>
    <t>吳建勳</t>
  </si>
  <si>
    <t xml:space="preserve">0976383958          </t>
  </si>
  <si>
    <t>14686512</t>
    <phoneticPr fontId="5" type="noConversion"/>
  </si>
  <si>
    <t>石躍龍</t>
  </si>
  <si>
    <t>交換生</t>
  </si>
  <si>
    <t>14642016</t>
    <phoneticPr fontId="5" type="noConversion"/>
  </si>
  <si>
    <t>尹秋池</t>
  </si>
  <si>
    <t>14142020</t>
    <phoneticPr fontId="5" type="noConversion"/>
  </si>
  <si>
    <t>桑翌晨</t>
  </si>
  <si>
    <t>14442014</t>
    <phoneticPr fontId="5" type="noConversion"/>
  </si>
  <si>
    <t>賈延琦</t>
  </si>
  <si>
    <t>交流生</t>
  </si>
  <si>
    <t>14390336</t>
  </si>
  <si>
    <t>陳奕棋</t>
  </si>
  <si>
    <t xml:space="preserve">0910261771          </t>
  </si>
  <si>
    <t xml:space="preserve">0921224240          </t>
  </si>
  <si>
    <t>14142045</t>
  </si>
  <si>
    <t>白浩宇</t>
  </si>
  <si>
    <t>14142054</t>
  </si>
  <si>
    <t>郭宇翔</t>
  </si>
  <si>
    <t>14142063</t>
  </si>
  <si>
    <t>盧建華</t>
  </si>
  <si>
    <t>14842011</t>
  </si>
  <si>
    <t>李智銳</t>
  </si>
  <si>
    <t>14092013</t>
  </si>
  <si>
    <t>傅貞豪</t>
  </si>
  <si>
    <t>14092022</t>
  </si>
  <si>
    <t>李宇君</t>
  </si>
  <si>
    <t xml:space="preserve">資管三乙  </t>
  </si>
  <si>
    <t>14670273</t>
  </si>
  <si>
    <t>林皇觀</t>
  </si>
  <si>
    <t xml:space="preserve">0916957370          </t>
  </si>
  <si>
    <t xml:space="preserve">0918695485          </t>
  </si>
  <si>
    <t>14400511</t>
  </si>
  <si>
    <t>高健熙</t>
  </si>
  <si>
    <t xml:space="preserve">0937572036          </t>
  </si>
  <si>
    <t>14092040</t>
  </si>
  <si>
    <t>俞競航</t>
  </si>
  <si>
    <t>14092056</t>
  </si>
  <si>
    <t>張海波</t>
  </si>
  <si>
    <t>14092065</t>
  </si>
  <si>
    <t>熊  輝</t>
    <phoneticPr fontId="5" type="noConversion"/>
  </si>
  <si>
    <t>14600123</t>
  </si>
  <si>
    <t>陳信全</t>
  </si>
  <si>
    <t xml:space="preserve">0939776397          </t>
  </si>
  <si>
    <t xml:space="preserve">商設二乙  </t>
  </si>
  <si>
    <t>14600485</t>
  </si>
  <si>
    <t>王威勝</t>
  </si>
  <si>
    <t xml:space="preserve">0930100121          </t>
  </si>
  <si>
    <t>14750606</t>
  </si>
  <si>
    <t>蘇昱銘</t>
  </si>
  <si>
    <t xml:space="preserve">0913808821          </t>
  </si>
  <si>
    <t>14760290</t>
  </si>
  <si>
    <t>蔣昕和</t>
  </si>
  <si>
    <t xml:space="preserve">0928570862          </t>
  </si>
  <si>
    <t>14760281</t>
  </si>
  <si>
    <t>廖宜莛</t>
  </si>
  <si>
    <t xml:space="preserve">0963226424          </t>
  </si>
  <si>
    <t>14090812</t>
  </si>
  <si>
    <t xml:space="preserve">數媒一甲  </t>
  </si>
  <si>
    <t>蔡明宏</t>
  </si>
  <si>
    <t xml:space="preserve">035823342           </t>
  </si>
  <si>
    <t xml:space="preserve">0906685976          </t>
  </si>
  <si>
    <t>14090855</t>
  </si>
  <si>
    <t xml:space="preserve">數媒一乙  </t>
  </si>
  <si>
    <t>王嵩哲</t>
  </si>
  <si>
    <t xml:space="preserve">0979920330          </t>
  </si>
  <si>
    <t xml:space="preserve">0222437790          </t>
  </si>
  <si>
    <t>14090643</t>
  </si>
  <si>
    <t>陳怡憲</t>
  </si>
  <si>
    <t xml:space="preserve">0967282212          </t>
  </si>
  <si>
    <t xml:space="preserve">0936061819          </t>
  </si>
  <si>
    <t>餐旅四甲</t>
  </si>
  <si>
    <t>14790173</t>
  </si>
  <si>
    <t>黃鉦文</t>
  </si>
  <si>
    <t xml:space="preserve">0907275065          </t>
  </si>
  <si>
    <t xml:space="preserve">0928788170          </t>
  </si>
  <si>
    <t>14091133</t>
  </si>
  <si>
    <t>黃孜鼎</t>
  </si>
  <si>
    <t xml:space="preserve">0918301288          </t>
  </si>
  <si>
    <t xml:space="preserve">0227123200          </t>
  </si>
  <si>
    <t>14240535</t>
  </si>
  <si>
    <t>曾梓祐</t>
  </si>
  <si>
    <t xml:space="preserve">0971640835          </t>
  </si>
  <si>
    <t>14240562</t>
  </si>
  <si>
    <t>吳一君</t>
  </si>
  <si>
    <t xml:space="preserve">0903158508          </t>
  </si>
  <si>
    <t>應日三乙</t>
  </si>
  <si>
    <t>11440993</t>
  </si>
  <si>
    <t>應日四乙</t>
  </si>
  <si>
    <t>林柏瀚</t>
  </si>
  <si>
    <t>0931034455</t>
    <phoneticPr fontId="38" type="noConversion"/>
  </si>
  <si>
    <t>應日三甲</t>
  </si>
  <si>
    <t>14440981</t>
    <phoneticPr fontId="5" type="noConversion"/>
  </si>
  <si>
    <t>林文勗</t>
    <phoneticPr fontId="5" type="noConversion"/>
  </si>
  <si>
    <t>0966477018</t>
    <phoneticPr fontId="5" type="noConversion"/>
  </si>
  <si>
    <t>14210741</t>
  </si>
  <si>
    <t>彭新凱</t>
  </si>
  <si>
    <t xml:space="preserve">0984333686          </t>
  </si>
  <si>
    <t>14210901</t>
  </si>
  <si>
    <t>高擷凱</t>
  </si>
  <si>
    <t xml:space="preserve">0983557107          </t>
  </si>
  <si>
    <t xml:space="preserve">0425209886          </t>
  </si>
  <si>
    <t>14211106</t>
  </si>
  <si>
    <t>劉得均</t>
  </si>
  <si>
    <t xml:space="preserve">0906775794          </t>
  </si>
  <si>
    <t>14230772</t>
  </si>
  <si>
    <t>吳佑嘉</t>
  </si>
  <si>
    <t xml:space="preserve">0905038967          </t>
  </si>
  <si>
    <t>14841414</t>
  </si>
  <si>
    <t>江聖頎</t>
  </si>
  <si>
    <t xml:space="preserve">0906149850          </t>
  </si>
  <si>
    <t xml:space="preserve">089792418           </t>
  </si>
  <si>
    <t>14840960</t>
  </si>
  <si>
    <t>許閎凱</t>
  </si>
  <si>
    <t xml:space="preserve">0929330695          </t>
  </si>
  <si>
    <t>14840994</t>
  </si>
  <si>
    <t>周韋志</t>
  </si>
  <si>
    <t xml:space="preserve">0975206332          </t>
  </si>
  <si>
    <t>14381020</t>
  </si>
  <si>
    <t>林佑丞</t>
  </si>
  <si>
    <t xml:space="preserve">0972818809          </t>
  </si>
  <si>
    <t>14380450</t>
  </si>
  <si>
    <t>劉宥均</t>
  </si>
  <si>
    <t xml:space="preserve">0929005371          </t>
  </si>
  <si>
    <t>14380972</t>
  </si>
  <si>
    <t>董恩睿</t>
  </si>
  <si>
    <t>金融二甲</t>
  </si>
  <si>
    <t>14841015</t>
  </si>
  <si>
    <t>楊宗晏</t>
  </si>
  <si>
    <t xml:space="preserve">0905812728          </t>
  </si>
  <si>
    <t xml:space="preserve">0919912468          </t>
  </si>
  <si>
    <t>14840915</t>
  </si>
  <si>
    <t>謝浚宏</t>
  </si>
  <si>
    <t xml:space="preserve">0928875339          </t>
  </si>
  <si>
    <t xml:space="preserve">0955198759          </t>
  </si>
  <si>
    <t xml:space="preserve">觀光四甲  </t>
  </si>
  <si>
    <t>14840233</t>
  </si>
  <si>
    <t>賴宇哲</t>
  </si>
  <si>
    <t xml:space="preserve">0965257988          </t>
  </si>
  <si>
    <t xml:space="preserve">0929018507          </t>
  </si>
  <si>
    <t>14860230</t>
  </si>
  <si>
    <t>鄭皓勻</t>
  </si>
  <si>
    <t xml:space="preserve">0907730032          </t>
  </si>
  <si>
    <t xml:space="preserve">0955879879          </t>
  </si>
  <si>
    <t>資管三丙</t>
  </si>
  <si>
    <t>14640372</t>
  </si>
  <si>
    <t>李峻毅</t>
  </si>
  <si>
    <t xml:space="preserve">0910087792          </t>
  </si>
  <si>
    <t>14131836</t>
  </si>
  <si>
    <t>陳致璿</t>
  </si>
  <si>
    <t xml:space="preserve">0903341139          </t>
  </si>
  <si>
    <t>14131783</t>
  </si>
  <si>
    <t>邱繼緯</t>
  </si>
  <si>
    <t xml:space="preserve">0933727261          </t>
  </si>
  <si>
    <t>14131845</t>
  </si>
  <si>
    <t>陳立恩</t>
  </si>
  <si>
    <t xml:space="preserve">0932251237          </t>
  </si>
  <si>
    <t xml:space="preserve">03-9500741          </t>
  </si>
  <si>
    <t>14131065</t>
  </si>
  <si>
    <t>黃柏瑜</t>
  </si>
  <si>
    <t xml:space="preserve">0937112062          </t>
  </si>
  <si>
    <t>14130133</t>
  </si>
  <si>
    <t>阮梓睿</t>
  </si>
  <si>
    <t xml:space="preserve">0927958299          </t>
  </si>
  <si>
    <t xml:space="preserve">075565062           </t>
  </si>
  <si>
    <t>14751203</t>
  </si>
  <si>
    <t xml:space="preserve">人智一乙  </t>
  </si>
  <si>
    <t>蔡承洋</t>
  </si>
  <si>
    <t xml:space="preserve">0908763319          </t>
  </si>
  <si>
    <t xml:space="preserve">0908705872          </t>
  </si>
  <si>
    <t>14640222</t>
  </si>
  <si>
    <t>洪睿廷</t>
  </si>
  <si>
    <t>14131412</t>
  </si>
  <si>
    <t>沈奕呈</t>
  </si>
  <si>
    <t xml:space="preserve">0983520297          </t>
  </si>
  <si>
    <t>14361873</t>
  </si>
  <si>
    <t xml:space="preserve">資工一乙  </t>
  </si>
  <si>
    <t xml:space="preserve">0906892918          </t>
  </si>
  <si>
    <t>14361670</t>
  </si>
  <si>
    <t xml:space="preserve">資工一丙  </t>
  </si>
  <si>
    <t>張秦瑜</t>
  </si>
  <si>
    <t xml:space="preserve">0920175007          </t>
  </si>
  <si>
    <t>14361803</t>
  </si>
  <si>
    <t xml:space="preserve">資工一甲  </t>
  </si>
  <si>
    <t>蔡幸霖</t>
  </si>
  <si>
    <t xml:space="preserve">0908602085          </t>
  </si>
  <si>
    <t>14140463</t>
  </si>
  <si>
    <t xml:space="preserve">觀光一甲  </t>
  </si>
  <si>
    <t>徐澤亞</t>
  </si>
  <si>
    <t xml:space="preserve">0933478956          </t>
  </si>
  <si>
    <t>14190706</t>
  </si>
  <si>
    <t xml:space="preserve">餐旅一甲  </t>
  </si>
  <si>
    <t>鄭凱瑞</t>
  </si>
  <si>
    <t xml:space="preserve">0916701922          </t>
  </si>
  <si>
    <t>14390566</t>
  </si>
  <si>
    <t>盧劭齊</t>
  </si>
  <si>
    <t xml:space="preserve">0955527262          </t>
  </si>
  <si>
    <t>資訊學程四</t>
  </si>
  <si>
    <t>14640106</t>
  </si>
  <si>
    <t>吳廷瑋</t>
  </si>
  <si>
    <t xml:space="preserve">0983652206          </t>
  </si>
  <si>
    <t xml:space="preserve">資工二丙  </t>
  </si>
  <si>
    <t>14640096</t>
  </si>
  <si>
    <t>曾濬澤</t>
  </si>
  <si>
    <t xml:space="preserve">0933285718          </t>
  </si>
  <si>
    <t>DIEGO IGNACIO</t>
  </si>
  <si>
    <t>14890334</t>
  </si>
  <si>
    <t>NGOC DUY</t>
  </si>
  <si>
    <t>14090581</t>
  </si>
  <si>
    <t xml:space="preserve">0906223215          </t>
  </si>
  <si>
    <t xml:space="preserve">038580070           </t>
  </si>
  <si>
    <t>生科二丙</t>
  </si>
  <si>
    <t>許忠勝</t>
  </si>
  <si>
    <t>DO QUY VUONG</t>
  </si>
  <si>
    <t>盧瓦齊</t>
  </si>
  <si>
    <t xml:space="preserve">人智三乙  </t>
  </si>
  <si>
    <t>14090634</t>
  </si>
  <si>
    <t>劉祐任</t>
  </si>
  <si>
    <t xml:space="preserve">0960739522          </t>
  </si>
  <si>
    <t xml:space="preserve">0929362599          </t>
  </si>
  <si>
    <t>14390992</t>
  </si>
  <si>
    <t>蔡侑勳</t>
  </si>
  <si>
    <t xml:space="preserve">0912199232          </t>
  </si>
  <si>
    <t>14390691</t>
  </si>
  <si>
    <t>曾永鈞</t>
  </si>
  <si>
    <t xml:space="preserve">0932117771          </t>
  </si>
  <si>
    <t xml:space="preserve">0971751789          </t>
  </si>
  <si>
    <t>14670522</t>
  </si>
  <si>
    <t>邱振璿</t>
  </si>
  <si>
    <t xml:space="preserve">0908058500          </t>
  </si>
  <si>
    <t>14400103</t>
  </si>
  <si>
    <t>葉竑廷</t>
  </si>
  <si>
    <t xml:space="preserve">0955925389          </t>
  </si>
  <si>
    <t>14400980</t>
  </si>
  <si>
    <t>周承威</t>
  </si>
  <si>
    <t xml:space="preserve">0926171716          </t>
  </si>
  <si>
    <t>14440493</t>
  </si>
  <si>
    <t xml:space="preserve">應日一乙  </t>
  </si>
  <si>
    <t>邱柏睿</t>
  </si>
  <si>
    <t xml:space="preserve">0928839951          </t>
  </si>
  <si>
    <t xml:space="preserve">0911794790          </t>
  </si>
  <si>
    <t xml:space="preserve">心理四乙  </t>
  </si>
  <si>
    <t>13600931</t>
  </si>
  <si>
    <t>心理二甲</t>
  </si>
  <si>
    <t>李承叡</t>
  </si>
  <si>
    <t>資工四乙</t>
  </si>
  <si>
    <t>13361856</t>
  </si>
  <si>
    <t>李祐丞</t>
  </si>
  <si>
    <t xml:space="preserve">醫管三乙  </t>
  </si>
  <si>
    <t>14601153</t>
  </si>
  <si>
    <t>陳柏樺</t>
  </si>
  <si>
    <t xml:space="preserve">0921666270          </t>
  </si>
  <si>
    <t xml:space="preserve">047981808           </t>
  </si>
  <si>
    <t>14680462</t>
  </si>
  <si>
    <t>彭正臣</t>
  </si>
  <si>
    <t xml:space="preserve">0939720732          </t>
  </si>
  <si>
    <t xml:space="preserve">0958826650          </t>
  </si>
  <si>
    <t xml:space="preserve">人智三甲  </t>
  </si>
  <si>
    <t>休憩四甲</t>
  </si>
  <si>
    <t xml:space="preserve">醫工三甲  </t>
  </si>
  <si>
    <t>11370912</t>
  </si>
  <si>
    <t>黃子豪</t>
  </si>
  <si>
    <t xml:space="preserve">數媒四乙  </t>
  </si>
  <si>
    <t>14751221</t>
  </si>
  <si>
    <t>吳承勳</t>
  </si>
  <si>
    <t xml:space="preserve">0934053944          </t>
  </si>
  <si>
    <t>半導體一甲</t>
  </si>
  <si>
    <t>14790280</t>
  </si>
  <si>
    <t>文華一甲</t>
  </si>
  <si>
    <t>邱友宸</t>
  </si>
  <si>
    <t xml:space="preserve">0908598561          </t>
  </si>
  <si>
    <t>14841804</t>
  </si>
  <si>
    <t>電機一丙</t>
  </si>
  <si>
    <t>粘松晏</t>
  </si>
  <si>
    <t xml:space="preserve">0965300355          </t>
  </si>
  <si>
    <t xml:space="preserve">047680934           </t>
  </si>
  <si>
    <t>14841856</t>
  </si>
  <si>
    <t>林潤地</t>
  </si>
  <si>
    <t xml:space="preserve">0936735087          </t>
  </si>
  <si>
    <t xml:space="preserve">039334448           </t>
  </si>
  <si>
    <t>14841432</t>
  </si>
  <si>
    <t>電機一甲</t>
  </si>
  <si>
    <t>賴柏豪</t>
  </si>
  <si>
    <t xml:space="preserve">0928267868          </t>
  </si>
  <si>
    <t>13670062</t>
  </si>
  <si>
    <t>醫工二甲</t>
  </si>
  <si>
    <t>陳泓儒</t>
  </si>
  <si>
    <t>外交學程四</t>
  </si>
  <si>
    <t>14841760</t>
  </si>
  <si>
    <t>莊子毅</t>
  </si>
  <si>
    <t xml:space="preserve">0906693339          </t>
  </si>
  <si>
    <t xml:space="preserve">0422139899          </t>
  </si>
  <si>
    <t>14841892</t>
  </si>
  <si>
    <t>黃庭偉</t>
  </si>
  <si>
    <t xml:space="preserve">0921697994          </t>
  </si>
  <si>
    <t xml:space="preserve">0968487007          </t>
  </si>
  <si>
    <t>14860246</t>
  </si>
  <si>
    <t>金科一甲</t>
  </si>
  <si>
    <t>佘承諺</t>
  </si>
  <si>
    <t xml:space="preserve">0960501502          </t>
  </si>
  <si>
    <t xml:space="preserve">0902101835          </t>
  </si>
  <si>
    <t>14090182</t>
  </si>
  <si>
    <t>彭昱楠</t>
  </si>
  <si>
    <t xml:space="preserve">0908677111          </t>
  </si>
  <si>
    <t>14240040</t>
  </si>
  <si>
    <t>吳富生</t>
  </si>
  <si>
    <t xml:space="preserve">0937849567          </t>
  </si>
  <si>
    <t>黃崇恩</t>
    <phoneticPr fontId="5" type="noConversion"/>
  </si>
  <si>
    <t xml:space="preserve">醫管二甲  </t>
  </si>
  <si>
    <t>13090635</t>
  </si>
  <si>
    <t>吳彥宏</t>
  </si>
  <si>
    <t>資工二丙</t>
    <phoneticPr fontId="5" type="noConversion"/>
  </si>
  <si>
    <t>曾郁凱</t>
    <phoneticPr fontId="5" type="noConversion"/>
  </si>
  <si>
    <t>0967056055</t>
    <phoneticPr fontId="5" type="noConversion"/>
  </si>
  <si>
    <t>資工三甲</t>
    <phoneticPr fontId="5" type="noConversion"/>
  </si>
  <si>
    <t>0909314650</t>
    <phoneticPr fontId="5" type="noConversion"/>
  </si>
  <si>
    <t>14860380</t>
  </si>
  <si>
    <t>李諦扉</t>
  </si>
  <si>
    <t xml:space="preserve">0939724824          </t>
  </si>
  <si>
    <t xml:space="preserve">0952373851          </t>
  </si>
  <si>
    <t>14640541</t>
  </si>
  <si>
    <t xml:space="preserve">金融一甲  </t>
  </si>
  <si>
    <t>陳鴻鈞</t>
  </si>
  <si>
    <t xml:space="preserve">0909921228          </t>
  </si>
  <si>
    <t xml:space="preserve">0939151156          </t>
  </si>
  <si>
    <t>14640514</t>
  </si>
  <si>
    <t>徐琦恩</t>
  </si>
  <si>
    <t xml:space="preserve">0963564880          </t>
  </si>
  <si>
    <t xml:space="preserve">0926818501          </t>
  </si>
  <si>
    <t>12380461</t>
  </si>
  <si>
    <t>犯防三乙</t>
  </si>
  <si>
    <t>徐尚恩</t>
  </si>
  <si>
    <t>0965390665</t>
    <phoneticPr fontId="38" type="noConversion"/>
  </si>
  <si>
    <t>人智二乙</t>
  </si>
  <si>
    <t>14640575</t>
  </si>
  <si>
    <t>劉宇哲</t>
  </si>
  <si>
    <t xml:space="preserve">0922369033          </t>
  </si>
  <si>
    <t xml:space="preserve">052396303           </t>
  </si>
  <si>
    <t>14740125</t>
  </si>
  <si>
    <t>都發一甲</t>
  </si>
  <si>
    <t>簡群益</t>
  </si>
  <si>
    <t xml:space="preserve">0928327517          </t>
  </si>
  <si>
    <t xml:space="preserve">039610083           </t>
  </si>
  <si>
    <t>14740382</t>
  </si>
  <si>
    <t>曾彥渝</t>
  </si>
  <si>
    <t xml:space="preserve">0905491665          </t>
  </si>
  <si>
    <t>14740364</t>
  </si>
  <si>
    <t>簡孝存</t>
  </si>
  <si>
    <t xml:space="preserve">0979696818          </t>
  </si>
  <si>
    <t>資工二丙</t>
  </si>
  <si>
    <t>人智二甲</t>
  </si>
  <si>
    <t>14240225</t>
  </si>
  <si>
    <t>曾湘容</t>
  </si>
  <si>
    <t xml:space="preserve">0932361056          </t>
  </si>
  <si>
    <t>14130796</t>
  </si>
  <si>
    <t>李可郁</t>
  </si>
  <si>
    <t xml:space="preserve">0971757806          </t>
  </si>
  <si>
    <t xml:space="preserve">0905370380          </t>
  </si>
  <si>
    <t xml:space="preserve">公行三甲  </t>
  </si>
  <si>
    <t xml:space="preserve">應日三乙  </t>
  </si>
  <si>
    <t>14360720</t>
  </si>
  <si>
    <t>賴品竹</t>
  </si>
  <si>
    <t xml:space="preserve">0928020537          </t>
  </si>
  <si>
    <t xml:space="preserve">0920585661          </t>
  </si>
  <si>
    <t>14360772</t>
  </si>
  <si>
    <t>魏恩惠</t>
  </si>
  <si>
    <t xml:space="preserve">0968571686          </t>
  </si>
  <si>
    <t>14140082</t>
  </si>
  <si>
    <t>沈以婕</t>
  </si>
  <si>
    <t xml:space="preserve">039581530           </t>
  </si>
  <si>
    <t xml:space="preserve">0906071013          </t>
  </si>
  <si>
    <t>13670080</t>
  </si>
  <si>
    <t>林家伃</t>
  </si>
  <si>
    <t>14240031</t>
  </si>
  <si>
    <t>何沛畇</t>
  </si>
  <si>
    <t xml:space="preserve">0920396209          </t>
  </si>
  <si>
    <t>14360090</t>
  </si>
  <si>
    <t>顏孜羽</t>
  </si>
  <si>
    <t xml:space="preserve">0902355291          </t>
  </si>
  <si>
    <t xml:space="preserve">0918323977          </t>
  </si>
  <si>
    <t>14440405</t>
  </si>
  <si>
    <t>陳禹廷</t>
  </si>
  <si>
    <t xml:space="preserve">0965601896          </t>
  </si>
  <si>
    <t xml:space="preserve">0905268625          </t>
  </si>
  <si>
    <t>14210112</t>
  </si>
  <si>
    <t>蔡思筠</t>
  </si>
  <si>
    <t xml:space="preserve">0968500136          </t>
  </si>
  <si>
    <t xml:space="preserve">0968989136          </t>
  </si>
  <si>
    <t>14400465</t>
  </si>
  <si>
    <t>蔡聿芷</t>
  </si>
  <si>
    <t xml:space="preserve">0928797237          </t>
  </si>
  <si>
    <t xml:space="preserve">0911134670          </t>
  </si>
  <si>
    <t>公行四甲</t>
  </si>
  <si>
    <t>14600442</t>
  </si>
  <si>
    <t>楊詠晴</t>
  </si>
  <si>
    <t xml:space="preserve">0908355699          </t>
  </si>
  <si>
    <t xml:space="preserve">0939261106          </t>
  </si>
  <si>
    <t>14390302</t>
  </si>
  <si>
    <t>張舒婷</t>
  </si>
  <si>
    <t xml:space="preserve">0909638186          </t>
  </si>
  <si>
    <t xml:space="preserve">0923588810          </t>
  </si>
  <si>
    <t>14360161</t>
  </si>
  <si>
    <t>許紫瑜</t>
  </si>
  <si>
    <t xml:space="preserve">0909567212          </t>
  </si>
  <si>
    <t xml:space="preserve">0931697520          </t>
  </si>
  <si>
    <t>14090474</t>
  </si>
  <si>
    <t>何佳臻</t>
  </si>
  <si>
    <t xml:space="preserve">0918738020          </t>
  </si>
  <si>
    <t xml:space="preserve">0973020281          </t>
  </si>
  <si>
    <t>餐旅二甲</t>
  </si>
  <si>
    <t>資管三乙</t>
  </si>
  <si>
    <t>14400474</t>
  </si>
  <si>
    <t>林愉廩</t>
  </si>
  <si>
    <t xml:space="preserve">0975322261          </t>
  </si>
  <si>
    <t xml:space="preserve">0919663223          </t>
  </si>
  <si>
    <t>14790201</t>
  </si>
  <si>
    <t>陳慎英</t>
  </si>
  <si>
    <t xml:space="preserve">0954008188          </t>
  </si>
  <si>
    <t xml:space="preserve">0915828018          </t>
  </si>
  <si>
    <t>14380361</t>
  </si>
  <si>
    <t>吳采甯</t>
  </si>
  <si>
    <t xml:space="preserve">0906306966          </t>
  </si>
  <si>
    <t xml:space="preserve">0958713030          </t>
  </si>
  <si>
    <t>14600540</t>
  </si>
  <si>
    <t>曾子儀</t>
  </si>
  <si>
    <t xml:space="preserve">0974060266          </t>
  </si>
  <si>
    <t xml:space="preserve">0912518083          </t>
  </si>
  <si>
    <t>13380540</t>
  </si>
  <si>
    <t>郭佳穎</t>
  </si>
  <si>
    <t xml:space="preserve">犯防二乙  </t>
  </si>
  <si>
    <t>14140374</t>
  </si>
  <si>
    <t>劉采妮</t>
  </si>
  <si>
    <t xml:space="preserve">0972171925          </t>
  </si>
  <si>
    <t xml:space="preserve">0921097558          </t>
  </si>
  <si>
    <t>人智三乙</t>
  </si>
  <si>
    <t>14400121</t>
  </si>
  <si>
    <t>洪宥歆</t>
  </si>
  <si>
    <t xml:space="preserve">0965567658          </t>
  </si>
  <si>
    <t xml:space="preserve">0915659658          </t>
  </si>
  <si>
    <t xml:space="preserve">資工四甲  </t>
  </si>
  <si>
    <t xml:space="preserve">資工四乙  </t>
  </si>
  <si>
    <t>14130115</t>
  </si>
  <si>
    <t>林筠青</t>
  </si>
  <si>
    <t xml:space="preserve">0965727023          </t>
  </si>
  <si>
    <t xml:space="preserve">0937662320          </t>
  </si>
  <si>
    <t>心理四乙</t>
  </si>
  <si>
    <t>生科三甲</t>
  </si>
  <si>
    <t>13090076</t>
  </si>
  <si>
    <t>賴姵綺</t>
  </si>
  <si>
    <t>14090164</t>
  </si>
  <si>
    <t>黃芷琳</t>
  </si>
  <si>
    <t xml:space="preserve">077533771           </t>
  </si>
  <si>
    <t xml:space="preserve">0978930288          </t>
  </si>
  <si>
    <t xml:space="preserve">生科四甲  </t>
  </si>
  <si>
    <t>14131596</t>
  </si>
  <si>
    <t>劉于緁</t>
  </si>
  <si>
    <t xml:space="preserve">0987818768          </t>
  </si>
  <si>
    <t xml:space="preserve">0913638762          </t>
  </si>
  <si>
    <t>14090732</t>
  </si>
  <si>
    <t>陳姸希</t>
  </si>
  <si>
    <t xml:space="preserve">077131219           </t>
  </si>
  <si>
    <t xml:space="preserve">0925668023          </t>
  </si>
  <si>
    <t>14380466</t>
  </si>
  <si>
    <t>陸佩伶</t>
  </si>
  <si>
    <t xml:space="preserve">0908129606          </t>
  </si>
  <si>
    <t xml:space="preserve">0986523229          </t>
  </si>
  <si>
    <t>14600681</t>
  </si>
  <si>
    <t>曹絜瑀</t>
  </si>
  <si>
    <t xml:space="preserve">0917883098          </t>
  </si>
  <si>
    <t xml:space="preserve">073450346           </t>
  </si>
  <si>
    <t>14361404</t>
  </si>
  <si>
    <t>林愉庭</t>
  </si>
  <si>
    <t xml:space="preserve">0933577880          </t>
  </si>
  <si>
    <t xml:space="preserve">0908155287          </t>
  </si>
  <si>
    <t>14640213</t>
  </si>
  <si>
    <t>王芊霖</t>
  </si>
  <si>
    <t xml:space="preserve">0966195518          </t>
  </si>
  <si>
    <t xml:space="preserve">0939050356          </t>
  </si>
  <si>
    <t>14750596</t>
  </si>
  <si>
    <t>周昕霓</t>
  </si>
  <si>
    <t xml:space="preserve">0989937147          </t>
  </si>
  <si>
    <t xml:space="preserve">0989777416          </t>
  </si>
  <si>
    <t>14680152</t>
  </si>
  <si>
    <t>賴宣妤</t>
  </si>
  <si>
    <t xml:space="preserve">0968905776          </t>
  </si>
  <si>
    <t xml:space="preserve">0976802808          </t>
  </si>
  <si>
    <t>14130096</t>
  </si>
  <si>
    <t>邱沛涵</t>
  </si>
  <si>
    <t xml:space="preserve">0930521997          </t>
  </si>
  <si>
    <t xml:space="preserve">0913879795          </t>
  </si>
  <si>
    <t>14600291</t>
  </si>
  <si>
    <t>洪靖恩</t>
  </si>
  <si>
    <t xml:space="preserve">0928317725          </t>
  </si>
  <si>
    <t xml:space="preserve">0927985096          </t>
  </si>
  <si>
    <t>14440343</t>
  </si>
  <si>
    <t>李昀倩</t>
  </si>
  <si>
    <t xml:space="preserve">0903326297          </t>
  </si>
  <si>
    <t xml:space="preserve">0935588868          </t>
  </si>
  <si>
    <t>14601012</t>
  </si>
  <si>
    <t>謝汶圻</t>
  </si>
  <si>
    <t xml:space="preserve">0939015529          </t>
  </si>
  <si>
    <t xml:space="preserve">0976032125          </t>
  </si>
  <si>
    <t>14420303</t>
  </si>
  <si>
    <t xml:space="preserve">應英一甲  </t>
  </si>
  <si>
    <t>李莘渝</t>
  </si>
  <si>
    <t xml:space="preserve">0965183216          </t>
  </si>
  <si>
    <t xml:space="preserve">0935639266          </t>
  </si>
  <si>
    <t>14390753</t>
  </si>
  <si>
    <t>張韶妤</t>
  </si>
  <si>
    <t xml:space="preserve">0919424636          </t>
  </si>
  <si>
    <t xml:space="preserve">039580831           </t>
  </si>
  <si>
    <t>14242012</t>
  </si>
  <si>
    <t>周子蘊</t>
  </si>
  <si>
    <t>14092074</t>
  </si>
  <si>
    <t>李維岩</t>
  </si>
  <si>
    <t>14216515</t>
  </si>
  <si>
    <t>周怡軒</t>
  </si>
  <si>
    <t>14682010</t>
  </si>
  <si>
    <t>陳藝丹</t>
  </si>
  <si>
    <t>14192014</t>
  </si>
  <si>
    <t>宋佳夢</t>
  </si>
  <si>
    <t>14212013</t>
  </si>
  <si>
    <t>黃紫涵</t>
  </si>
  <si>
    <t>14142036</t>
  </si>
  <si>
    <t>張怡明</t>
  </si>
  <si>
    <t>14142072</t>
  </si>
  <si>
    <t>邵瀟瀅</t>
  </si>
  <si>
    <t>14142081</t>
  </si>
  <si>
    <t>舒靜逸</t>
  </si>
  <si>
    <t>14232010</t>
  </si>
  <si>
    <t>彭思桃</t>
  </si>
  <si>
    <t>14092031</t>
  </si>
  <si>
    <t>蘇琬媛</t>
  </si>
  <si>
    <t>14142011</t>
  </si>
  <si>
    <t>黃雅文</t>
  </si>
  <si>
    <t>心理諮商二</t>
  </si>
  <si>
    <t>14640256</t>
  </si>
  <si>
    <t>張恬萭</t>
  </si>
  <si>
    <t xml:space="preserve">0963312116          </t>
  </si>
  <si>
    <t xml:space="preserve">0935502049          </t>
  </si>
  <si>
    <t>犯防二甲</t>
  </si>
  <si>
    <t>14441143</t>
  </si>
  <si>
    <t>劉向容</t>
  </si>
  <si>
    <t xml:space="preserve">0937252677          </t>
  </si>
  <si>
    <t xml:space="preserve">07-6772550          </t>
  </si>
  <si>
    <t>14231005</t>
  </si>
  <si>
    <t xml:space="preserve">品設一甲  </t>
  </si>
  <si>
    <t>鄒佑姗</t>
  </si>
  <si>
    <t xml:space="preserve">0905186640          </t>
  </si>
  <si>
    <t>14400821</t>
  </si>
  <si>
    <t>楊舒涵</t>
  </si>
  <si>
    <t xml:space="preserve">0926259581          </t>
  </si>
  <si>
    <t>14381214</t>
  </si>
  <si>
    <t>吳雨臻</t>
  </si>
  <si>
    <t xml:space="preserve">0909735130          </t>
  </si>
  <si>
    <t xml:space="preserve">062828239           </t>
  </si>
  <si>
    <t>14380911</t>
  </si>
  <si>
    <t>李梓寧</t>
  </si>
  <si>
    <t xml:space="preserve">0966688433          </t>
  </si>
  <si>
    <t xml:space="preserve">063037813           </t>
  </si>
  <si>
    <t>14390824</t>
  </si>
  <si>
    <t>黃珮柔</t>
  </si>
  <si>
    <t xml:space="preserve">0902277196          </t>
  </si>
  <si>
    <t>14400492</t>
  </si>
  <si>
    <t>戴宜貞</t>
  </si>
  <si>
    <t xml:space="preserve">0972086718          </t>
  </si>
  <si>
    <t xml:space="preserve">0912311265          </t>
  </si>
  <si>
    <t xml:space="preserve">資管四丙  </t>
  </si>
  <si>
    <t xml:space="preserve">心理三甲  </t>
  </si>
  <si>
    <t xml:space="preserve">資管二甲  </t>
  </si>
  <si>
    <t>林惟眞</t>
  </si>
  <si>
    <t>LIM Yu Jin</t>
  </si>
  <si>
    <t>朴证仁</t>
  </si>
  <si>
    <t>PARK Jeong In</t>
  </si>
  <si>
    <t>DO DUONG MINH NGOC</t>
  </si>
  <si>
    <t xml:space="preserve">心理二乙  </t>
  </si>
  <si>
    <t>14860203</t>
  </si>
  <si>
    <t>李琦淨</t>
  </si>
  <si>
    <t xml:space="preserve">0952658112          </t>
  </si>
  <si>
    <t>貝里斯</t>
  </si>
  <si>
    <t xml:space="preserve">生科二乙  </t>
  </si>
  <si>
    <t>14090723</t>
  </si>
  <si>
    <t>吳珈妤</t>
  </si>
  <si>
    <t xml:space="preserve">0977030808          </t>
  </si>
  <si>
    <t xml:space="preserve">0972075438          </t>
  </si>
  <si>
    <t>14840826</t>
  </si>
  <si>
    <t>廖芷榆</t>
  </si>
  <si>
    <t xml:space="preserve">0905495422          </t>
  </si>
  <si>
    <t xml:space="preserve">0937989773          </t>
  </si>
  <si>
    <t>觀光二甲</t>
  </si>
  <si>
    <t>14750403</t>
  </si>
  <si>
    <t>劉秀玟</t>
  </si>
  <si>
    <t xml:space="preserve">0928139424          </t>
  </si>
  <si>
    <t>商設四乙</t>
  </si>
  <si>
    <t xml:space="preserve">醫管一乙  </t>
  </si>
  <si>
    <t>14131083</t>
  </si>
  <si>
    <t>林庭伃</t>
  </si>
  <si>
    <t xml:space="preserve">0938258806          </t>
  </si>
  <si>
    <t xml:space="preserve">052750966           </t>
  </si>
  <si>
    <t>14380902</t>
  </si>
  <si>
    <t>葉紋伶</t>
  </si>
  <si>
    <t xml:space="preserve">0901373928          </t>
  </si>
  <si>
    <t xml:space="preserve">052351874           </t>
  </si>
  <si>
    <t>14381186</t>
  </si>
  <si>
    <t>陳　婧</t>
  </si>
  <si>
    <t xml:space="preserve">0965625255          </t>
  </si>
  <si>
    <t xml:space="preserve">0492251880          </t>
  </si>
  <si>
    <t>14740391</t>
  </si>
  <si>
    <t>謝芷芸</t>
  </si>
  <si>
    <t xml:space="preserve">0919729920          </t>
  </si>
  <si>
    <t xml:space="preserve">0977191799          </t>
  </si>
  <si>
    <t>14590171</t>
  </si>
  <si>
    <t>外交學程一</t>
  </si>
  <si>
    <t>陳嘉誼</t>
  </si>
  <si>
    <t xml:space="preserve">0921312702          </t>
  </si>
  <si>
    <t xml:space="preserve">0958539806          </t>
  </si>
  <si>
    <t>14231050</t>
  </si>
  <si>
    <t>許芸瑄</t>
  </si>
  <si>
    <t xml:space="preserve">0916498086          </t>
  </si>
  <si>
    <t xml:space="preserve">04-8958800          </t>
  </si>
  <si>
    <t>14680576</t>
  </si>
  <si>
    <t>賴佳妤</t>
  </si>
  <si>
    <t xml:space="preserve">0912069826          </t>
  </si>
  <si>
    <t xml:space="preserve">0937705698          </t>
  </si>
  <si>
    <t>資工三甲</t>
  </si>
  <si>
    <t>14400625</t>
  </si>
  <si>
    <t>廖家淇</t>
  </si>
  <si>
    <t xml:space="preserve">0907584085          </t>
  </si>
  <si>
    <t xml:space="preserve">0928923650          </t>
  </si>
  <si>
    <t>14600105</t>
  </si>
  <si>
    <t>王羿涵</t>
  </si>
  <si>
    <t xml:space="preserve">0933370056          </t>
  </si>
  <si>
    <t xml:space="preserve">076934836           </t>
  </si>
  <si>
    <t>14380546</t>
  </si>
  <si>
    <t>劉芷妘</t>
  </si>
  <si>
    <t xml:space="preserve">0905895815          </t>
  </si>
  <si>
    <t>14180606</t>
  </si>
  <si>
    <t>邱靖茹</t>
  </si>
  <si>
    <t xml:space="preserve">0955811563          </t>
  </si>
  <si>
    <t>14231066</t>
  </si>
  <si>
    <t>曾子芳</t>
  </si>
  <si>
    <t xml:space="preserve">0933733221          </t>
  </si>
  <si>
    <t xml:space="preserve">0966670841          </t>
  </si>
  <si>
    <t>14860025</t>
  </si>
  <si>
    <t>朱育環</t>
  </si>
  <si>
    <t xml:space="preserve">0929689143          </t>
  </si>
  <si>
    <t>14401010</t>
  </si>
  <si>
    <t>吳宥葳</t>
  </si>
  <si>
    <t xml:space="preserve">0988232873          </t>
  </si>
  <si>
    <t>14361846</t>
  </si>
  <si>
    <t>謝渝淇</t>
  </si>
  <si>
    <t xml:space="preserve">0902292805          </t>
  </si>
  <si>
    <t>14230923</t>
  </si>
  <si>
    <t>羅元婍</t>
  </si>
  <si>
    <t xml:space="preserve">0956520956          </t>
  </si>
  <si>
    <t>14390026</t>
  </si>
  <si>
    <t>蔡沁予</t>
  </si>
  <si>
    <t xml:space="preserve">0900603622          </t>
  </si>
  <si>
    <t>14670105</t>
  </si>
  <si>
    <t>趙晨妤</t>
  </si>
  <si>
    <t xml:space="preserve">0989163353          </t>
  </si>
  <si>
    <t>13440690</t>
  </si>
  <si>
    <t>陳彥菱</t>
  </si>
  <si>
    <t>14210661</t>
  </si>
  <si>
    <t>方怡媃</t>
  </si>
  <si>
    <t xml:space="preserve">0965388021          </t>
  </si>
  <si>
    <t>14670415</t>
  </si>
  <si>
    <t>邱于甄</t>
  </si>
  <si>
    <t xml:space="preserve">0912960175          </t>
  </si>
  <si>
    <t>14210714</t>
  </si>
  <si>
    <t>杜淓穎</t>
  </si>
  <si>
    <t xml:space="preserve">0937222971          </t>
  </si>
  <si>
    <t>14440033</t>
  </si>
  <si>
    <t>洪于喬</t>
  </si>
  <si>
    <t xml:space="preserve">0937630272          </t>
  </si>
  <si>
    <t>14230435</t>
  </si>
  <si>
    <t>陳渝柔</t>
  </si>
  <si>
    <t xml:space="preserve">0952734030          </t>
  </si>
  <si>
    <t>14231084</t>
  </si>
  <si>
    <t>黃婉翎</t>
  </si>
  <si>
    <t xml:space="preserve">0906742109          </t>
  </si>
  <si>
    <t>14361793</t>
  </si>
  <si>
    <t>羅苡菱</t>
  </si>
  <si>
    <t xml:space="preserve">0971819096          </t>
  </si>
  <si>
    <t>14380530</t>
  </si>
  <si>
    <t>鄭聿喬</t>
  </si>
  <si>
    <t xml:space="preserve">0909960205          </t>
  </si>
  <si>
    <t xml:space="preserve">統資四甲  </t>
  </si>
  <si>
    <t>11503163</t>
  </si>
  <si>
    <t>余瑞珉</t>
  </si>
  <si>
    <t xml:space="preserve">休憩四甲  </t>
  </si>
  <si>
    <t>14230045</t>
  </si>
  <si>
    <t>李佳儀</t>
  </si>
  <si>
    <t xml:space="preserve">0918138581          </t>
  </si>
  <si>
    <t>14790306</t>
  </si>
  <si>
    <t>孫傑臻</t>
  </si>
  <si>
    <t xml:space="preserve">0984373690          </t>
  </si>
  <si>
    <t>14230870</t>
  </si>
  <si>
    <t>江書侑</t>
  </si>
  <si>
    <t xml:space="preserve">0966866198          </t>
  </si>
  <si>
    <t>12240334</t>
  </si>
  <si>
    <t>建築三甲</t>
  </si>
  <si>
    <t>張瑋庭</t>
  </si>
  <si>
    <t>14380733</t>
  </si>
  <si>
    <t>林樂晴</t>
  </si>
  <si>
    <t xml:space="preserve">0912600525          </t>
  </si>
  <si>
    <t>14680303</t>
  </si>
  <si>
    <t>陳儀恩</t>
  </si>
  <si>
    <t xml:space="preserve">0989679741          </t>
  </si>
  <si>
    <t>14130523</t>
  </si>
  <si>
    <t xml:space="preserve">資管一乙  </t>
  </si>
  <si>
    <t>施忞萱</t>
  </si>
  <si>
    <t xml:space="preserve">0966672801          </t>
  </si>
  <si>
    <t>14860212</t>
  </si>
  <si>
    <t>邱羽芹</t>
  </si>
  <si>
    <t xml:space="preserve">0931963335          </t>
  </si>
  <si>
    <t>14840224</t>
  </si>
  <si>
    <t>楊捷媃</t>
  </si>
  <si>
    <t xml:space="preserve">0952332769          </t>
  </si>
  <si>
    <t>生科二乙</t>
  </si>
  <si>
    <t>13230055</t>
  </si>
  <si>
    <t>邱靖媗</t>
  </si>
  <si>
    <t>13380043</t>
  </si>
  <si>
    <t>郭子瑄</t>
  </si>
  <si>
    <t>13230614</t>
  </si>
  <si>
    <t>林靖軒</t>
  </si>
  <si>
    <t xml:space="preserve">品設四乙  </t>
  </si>
  <si>
    <t>特殊</t>
    <phoneticPr fontId="5" type="noConversion"/>
  </si>
  <si>
    <t xml:space="preserve">電機三乙  </t>
    <phoneticPr fontId="5" type="noConversion"/>
  </si>
  <si>
    <t>0968967928</t>
    <phoneticPr fontId="5" type="noConversion"/>
  </si>
  <si>
    <t>健管室</t>
    <phoneticPr fontId="5" type="noConversion"/>
  </si>
  <si>
    <t xml:space="preserve">0909788996          </t>
  </si>
  <si>
    <t xml:space="preserve">0981928128          </t>
  </si>
  <si>
    <t>公行研一</t>
    <phoneticPr fontId="5" type="noConversion"/>
  </si>
  <si>
    <t>金融三甲</t>
    <phoneticPr fontId="5" type="noConversion"/>
  </si>
  <si>
    <t xml:space="preserve">觀光三甲  </t>
    <phoneticPr fontId="5" type="noConversion"/>
  </si>
  <si>
    <t>數媒三丁</t>
    <phoneticPr fontId="5" type="noConversion"/>
  </si>
  <si>
    <t>應日四甲</t>
    <phoneticPr fontId="5" type="noConversion"/>
  </si>
  <si>
    <t>電機三甲</t>
    <phoneticPr fontId="5" type="noConversion"/>
  </si>
  <si>
    <t>數媒二甲</t>
    <phoneticPr fontId="5" type="noConversion"/>
  </si>
  <si>
    <t xml:space="preserve">0937309905          </t>
  </si>
  <si>
    <t xml:space="preserve">0982338813          </t>
    <phoneticPr fontId="5" type="noConversion"/>
  </si>
  <si>
    <t xml:space="preserve">0989130821          </t>
  </si>
  <si>
    <t>12440876</t>
    <phoneticPr fontId="5" type="noConversion"/>
  </si>
  <si>
    <t xml:space="preserve">應日一甲  </t>
    <phoneticPr fontId="5" type="noConversion"/>
  </si>
  <si>
    <t>電機一甲</t>
    <phoneticPr fontId="5" type="noConversion"/>
  </si>
  <si>
    <t>麥張彥朋</t>
    <phoneticPr fontId="5" type="noConversion"/>
  </si>
  <si>
    <t>0987637667</t>
    <phoneticPr fontId="5" type="noConversion"/>
  </si>
  <si>
    <t>電機二丁</t>
    <phoneticPr fontId="5" type="noConversion"/>
  </si>
  <si>
    <t>陳心颺</t>
    <phoneticPr fontId="5" type="noConversion"/>
  </si>
  <si>
    <t>電機一乙</t>
  </si>
  <si>
    <t>電機四丁</t>
    <phoneticPr fontId="5" type="noConversion"/>
  </si>
  <si>
    <t>黃星維</t>
    <phoneticPr fontId="5" type="noConversion"/>
  </si>
  <si>
    <t>0903892083</t>
    <phoneticPr fontId="5" type="noConversion"/>
  </si>
  <si>
    <t xml:space="preserve">應英一甲  </t>
    <phoneticPr fontId="5" type="noConversion"/>
  </si>
  <si>
    <t>賴禹丞</t>
    <phoneticPr fontId="5" type="noConversion"/>
  </si>
  <si>
    <t>0905185848</t>
    <phoneticPr fontId="5" type="noConversion"/>
  </si>
  <si>
    <t xml:space="preserve">0982580055          </t>
  </si>
  <si>
    <t>12483756</t>
    <phoneticPr fontId="5" type="noConversion"/>
  </si>
  <si>
    <t>DANG THANH SON</t>
    <phoneticPr fontId="5" type="noConversion"/>
  </si>
  <si>
    <t>FTU</t>
    <phoneticPr fontId="5" type="noConversion"/>
  </si>
  <si>
    <t>14760521</t>
    <phoneticPr fontId="5" type="noConversion"/>
  </si>
  <si>
    <t>半導體一乙</t>
    <phoneticPr fontId="5" type="noConversion"/>
  </si>
  <si>
    <t>BUI AN DUY</t>
    <phoneticPr fontId="5" type="noConversion"/>
  </si>
  <si>
    <t>餐旅系</t>
    <phoneticPr fontId="5" type="noConversion"/>
  </si>
  <si>
    <t>0900393204</t>
    <phoneticPr fontId="5" type="noConversion"/>
  </si>
  <si>
    <t>觀光系</t>
    <phoneticPr fontId="5" type="noConversion"/>
  </si>
  <si>
    <t>生科一乙</t>
    <phoneticPr fontId="5" type="noConversion"/>
  </si>
  <si>
    <t>胡振雍</t>
    <phoneticPr fontId="5" type="noConversion"/>
  </si>
  <si>
    <t>0972160656</t>
    <phoneticPr fontId="5" type="noConversion"/>
  </si>
  <si>
    <t>0989820440</t>
    <phoneticPr fontId="5" type="noConversion"/>
  </si>
  <si>
    <t>0983792464</t>
    <phoneticPr fontId="5" type="noConversion"/>
  </si>
  <si>
    <t xml:space="preserve">電機二甲  </t>
    <phoneticPr fontId="5" type="noConversion"/>
  </si>
  <si>
    <t>0966743246</t>
    <phoneticPr fontId="5" type="noConversion"/>
  </si>
  <si>
    <t>外交學程一</t>
    <phoneticPr fontId="5" type="noConversion"/>
  </si>
  <si>
    <t>蘇杰</t>
    <phoneticPr fontId="5" type="noConversion"/>
  </si>
  <si>
    <t>智利</t>
    <phoneticPr fontId="5" type="noConversion"/>
  </si>
  <si>
    <t>外交學程三</t>
    <phoneticPr fontId="5" type="noConversion"/>
  </si>
  <si>
    <t>生科一丙</t>
    <phoneticPr fontId="5" type="noConversion"/>
  </si>
  <si>
    <t>阮陳茗俊</t>
    <phoneticPr fontId="5" type="noConversion"/>
  </si>
  <si>
    <t>資訊學程一</t>
    <phoneticPr fontId="5" type="noConversion"/>
  </si>
  <si>
    <t>NGOC DUC THINH</t>
    <phoneticPr fontId="5" type="noConversion"/>
  </si>
  <si>
    <t>SANCHIR AMAR</t>
    <phoneticPr fontId="5" type="noConversion"/>
  </si>
  <si>
    <t>資訊學程二</t>
    <phoneticPr fontId="5" type="noConversion"/>
  </si>
  <si>
    <t>阮世國寶</t>
    <phoneticPr fontId="5" type="noConversion"/>
  </si>
  <si>
    <t>0970041307</t>
    <phoneticPr fontId="5" type="noConversion"/>
  </si>
  <si>
    <t>劉政澔</t>
    <phoneticPr fontId="5" type="noConversion"/>
  </si>
  <si>
    <t>陳泳宏</t>
    <phoneticPr fontId="5" type="noConversion"/>
  </si>
  <si>
    <t>資工碩二</t>
    <phoneticPr fontId="5" type="noConversion"/>
  </si>
  <si>
    <t>0982025341</t>
    <phoneticPr fontId="5" type="noConversion"/>
  </si>
  <si>
    <t>DINH TUAN ANH</t>
    <phoneticPr fontId="5" type="noConversion"/>
  </si>
  <si>
    <t>NGUYEN TUAN ANH</t>
    <phoneticPr fontId="5" type="noConversion"/>
  </si>
  <si>
    <t>NGUYEN MINH TRI</t>
    <phoneticPr fontId="5" type="noConversion"/>
  </si>
  <si>
    <t>外交學程二</t>
    <phoneticPr fontId="5" type="noConversion"/>
  </si>
  <si>
    <t>NGUYEN PHU THINH</t>
    <phoneticPr fontId="5" type="noConversion"/>
  </si>
  <si>
    <t>TRAN HOANG DAT</t>
    <phoneticPr fontId="5" type="noConversion"/>
  </si>
  <si>
    <t>陳黃達</t>
    <phoneticPr fontId="5" type="noConversion"/>
  </si>
  <si>
    <t>PHAM VIET HUNG</t>
    <phoneticPr fontId="5" type="noConversion"/>
  </si>
  <si>
    <t>ZUZILE LWAZI  ANDREW</t>
    <phoneticPr fontId="5" type="noConversion"/>
  </si>
  <si>
    <t>南非</t>
    <phoneticPr fontId="5" type="noConversion"/>
  </si>
  <si>
    <t>SIMELANE KWANELE SISHOSONKE</t>
    <phoneticPr fontId="5" type="noConversion"/>
  </si>
  <si>
    <t>史瓦帝尼</t>
    <phoneticPr fontId="5" type="noConversion"/>
  </si>
  <si>
    <t xml:space="preserve">電機三丁  </t>
    <phoneticPr fontId="5" type="noConversion"/>
  </si>
  <si>
    <t>心理二乙</t>
    <phoneticPr fontId="5" type="noConversion"/>
  </si>
  <si>
    <t>森山聖矢</t>
    <phoneticPr fontId="5" type="noConversion"/>
  </si>
  <si>
    <t>0911153208</t>
    <phoneticPr fontId="5" type="noConversion"/>
  </si>
  <si>
    <t>14890715</t>
    <phoneticPr fontId="5" type="noConversion"/>
  </si>
  <si>
    <t>DOAN THANH AN</t>
    <phoneticPr fontId="5" type="noConversion"/>
  </si>
  <si>
    <t>醫管一甲</t>
    <phoneticPr fontId="5" type="noConversion"/>
  </si>
  <si>
    <t>宋家樑</t>
    <phoneticPr fontId="5" type="noConversion"/>
  </si>
  <si>
    <t>0976119295</t>
    <phoneticPr fontId="5" type="noConversion"/>
  </si>
  <si>
    <t>0906073930</t>
    <phoneticPr fontId="38" type="noConversion"/>
  </si>
  <si>
    <t>電機二甲</t>
    <phoneticPr fontId="5" type="noConversion"/>
  </si>
  <si>
    <t>14680036</t>
    <phoneticPr fontId="5" type="noConversion"/>
  </si>
  <si>
    <t xml:space="preserve">公行一甲  </t>
    <phoneticPr fontId="5" type="noConversion"/>
  </si>
  <si>
    <t>徐家康</t>
    <phoneticPr fontId="5" type="noConversion"/>
  </si>
  <si>
    <t>0905745220</t>
    <phoneticPr fontId="5" type="noConversion"/>
  </si>
  <si>
    <t>J123278756</t>
    <phoneticPr fontId="5" type="noConversion"/>
  </si>
  <si>
    <t>金科一甲</t>
    <phoneticPr fontId="5" type="noConversion"/>
  </si>
  <si>
    <t>黃茂綸</t>
    <phoneticPr fontId="5" type="noConversion"/>
  </si>
  <si>
    <t>0965037828</t>
    <phoneticPr fontId="5" type="noConversion"/>
  </si>
  <si>
    <t>電機一乙</t>
    <phoneticPr fontId="5" type="noConversion"/>
  </si>
  <si>
    <t>黃彥璋</t>
    <phoneticPr fontId="5" type="noConversion"/>
  </si>
  <si>
    <t>0972633550</t>
    <phoneticPr fontId="5" type="noConversion"/>
  </si>
  <si>
    <t>0930198178</t>
    <phoneticPr fontId="38" type="noConversion"/>
  </si>
  <si>
    <t>0930187178</t>
    <phoneticPr fontId="38" type="noConversion"/>
  </si>
  <si>
    <t>商設一乙</t>
    <phoneticPr fontId="5" type="noConversion"/>
  </si>
  <si>
    <t>劉睿恩</t>
    <phoneticPr fontId="5" type="noConversion"/>
  </si>
  <si>
    <t>0975800853</t>
    <phoneticPr fontId="5" type="noConversion"/>
  </si>
  <si>
    <t>0928101564</t>
    <phoneticPr fontId="38" type="noConversion"/>
  </si>
  <si>
    <t>曹祐瑋</t>
    <phoneticPr fontId="5" type="noConversion"/>
  </si>
  <si>
    <t>0966708120</t>
    <phoneticPr fontId="5" type="noConversion"/>
  </si>
  <si>
    <t>11593010</t>
    <phoneticPr fontId="5" type="noConversion"/>
  </si>
  <si>
    <t>胡恩睿</t>
    <phoneticPr fontId="5" type="noConversion"/>
  </si>
  <si>
    <t>0912220670</t>
    <phoneticPr fontId="5" type="noConversion"/>
  </si>
  <si>
    <t xml:space="preserve">0905238730          </t>
    <phoneticPr fontId="5" type="noConversion"/>
  </si>
  <si>
    <t xml:space="preserve">0970101075          </t>
    <phoneticPr fontId="5" type="noConversion"/>
  </si>
  <si>
    <t>白  崴</t>
    <phoneticPr fontId="5" type="noConversion"/>
  </si>
  <si>
    <t xml:space="preserve">0978580600          </t>
  </si>
  <si>
    <t xml:space="preserve">0909061557          </t>
    <phoneticPr fontId="5" type="noConversion"/>
  </si>
  <si>
    <t>0920153312</t>
    <phoneticPr fontId="38" type="noConversion"/>
  </si>
  <si>
    <t>陳泰頤</t>
    <phoneticPr fontId="5" type="noConversion"/>
  </si>
  <si>
    <t>人智一甲</t>
    <phoneticPr fontId="5" type="noConversion"/>
  </si>
  <si>
    <t>陳俊仰</t>
    <phoneticPr fontId="5" type="noConversion"/>
  </si>
  <si>
    <t>0921154997</t>
    <phoneticPr fontId="5" type="noConversion"/>
  </si>
  <si>
    <t xml:space="preserve"> 13370563</t>
    <phoneticPr fontId="38" type="noConversion"/>
  </si>
  <si>
    <t>電機二丙</t>
    <phoneticPr fontId="5" type="noConversion"/>
  </si>
  <si>
    <t>蕭翊均</t>
    <phoneticPr fontId="5" type="noConversion"/>
  </si>
  <si>
    <t>0980076490</t>
    <phoneticPr fontId="5" type="noConversion"/>
  </si>
  <si>
    <t>4年</t>
    <phoneticPr fontId="5" type="noConversion"/>
  </si>
  <si>
    <t>台灣</t>
    <phoneticPr fontId="5" type="noConversion"/>
  </si>
  <si>
    <t>學位生</t>
    <phoneticPr fontId="5" type="noConversion"/>
  </si>
  <si>
    <t>本地生</t>
    <phoneticPr fontId="5" type="noConversion"/>
  </si>
  <si>
    <t>0977253327</t>
    <phoneticPr fontId="5" type="noConversion"/>
  </si>
  <si>
    <t>11083283</t>
    <phoneticPr fontId="5" type="noConversion"/>
  </si>
  <si>
    <t>徐志方</t>
    <phoneticPr fontId="5" type="noConversion"/>
  </si>
  <si>
    <t>0978436996</t>
    <phoneticPr fontId="5" type="noConversion"/>
  </si>
  <si>
    <t>金融一甲</t>
    <phoneticPr fontId="5" type="noConversion"/>
  </si>
  <si>
    <t>李家齊</t>
    <phoneticPr fontId="5" type="noConversion"/>
  </si>
  <si>
    <t>0903295261</t>
    <phoneticPr fontId="5" type="noConversion"/>
  </si>
  <si>
    <t>黃子綱</t>
    <phoneticPr fontId="5" type="noConversion"/>
  </si>
  <si>
    <t>0903000936</t>
    <phoneticPr fontId="5" type="noConversion"/>
  </si>
  <si>
    <t>電機二丁</t>
    <phoneticPr fontId="5" type="noConversion"/>
  </si>
  <si>
    <t>陳聖揚</t>
    <phoneticPr fontId="5" type="noConversion"/>
  </si>
  <si>
    <t>0911781902</t>
    <phoneticPr fontId="5" type="noConversion"/>
  </si>
  <si>
    <t>陳楚威</t>
    <phoneticPr fontId="5" type="noConversion"/>
  </si>
  <si>
    <t>0910559150</t>
    <phoneticPr fontId="5" type="noConversion"/>
  </si>
  <si>
    <t>數媒四丁</t>
    <phoneticPr fontId="5" type="noConversion"/>
  </si>
  <si>
    <t>0960562831</t>
    <phoneticPr fontId="5" type="noConversion"/>
  </si>
  <si>
    <t xml:space="preserve">電機三丁  </t>
    <phoneticPr fontId="5" type="noConversion"/>
  </si>
  <si>
    <t>郭建偉</t>
    <phoneticPr fontId="5" type="noConversion"/>
  </si>
  <si>
    <t>0979945091</t>
    <phoneticPr fontId="5" type="noConversion"/>
  </si>
  <si>
    <t>吳紹綸</t>
    <phoneticPr fontId="5" type="noConversion"/>
  </si>
  <si>
    <t>0986678139</t>
    <phoneticPr fontId="5" type="noConversion"/>
  </si>
  <si>
    <t>13640205</t>
    <phoneticPr fontId="38" type="noConversion"/>
  </si>
  <si>
    <t>連  鎧</t>
    <phoneticPr fontId="5" type="noConversion"/>
  </si>
  <si>
    <t>0916681566</t>
    <phoneticPr fontId="5" type="noConversion"/>
  </si>
  <si>
    <t>電機二丁</t>
    <phoneticPr fontId="5" type="noConversion"/>
  </si>
  <si>
    <t>0938025851</t>
    <phoneticPr fontId="5" type="noConversion"/>
  </si>
  <si>
    <t>4年</t>
    <phoneticPr fontId="5" type="noConversion"/>
  </si>
  <si>
    <t>台灣</t>
    <phoneticPr fontId="5" type="noConversion"/>
  </si>
  <si>
    <t>學位生</t>
    <phoneticPr fontId="5" type="noConversion"/>
  </si>
  <si>
    <t>本地生</t>
    <phoneticPr fontId="5" type="noConversion"/>
  </si>
  <si>
    <t>12680270</t>
    <phoneticPr fontId="5" type="noConversion"/>
  </si>
  <si>
    <t>0965743750</t>
    <phoneticPr fontId="5" type="noConversion"/>
  </si>
  <si>
    <t>12441004</t>
    <phoneticPr fontId="5" type="noConversion"/>
  </si>
  <si>
    <t>0981515693</t>
    <phoneticPr fontId="5" type="noConversion"/>
  </si>
  <si>
    <t>12210725</t>
    <phoneticPr fontId="5" type="noConversion"/>
  </si>
  <si>
    <t>施愛永</t>
    <phoneticPr fontId="5" type="noConversion"/>
  </si>
  <si>
    <t>0905937137</t>
    <phoneticPr fontId="5" type="noConversion"/>
  </si>
  <si>
    <t>0919235006</t>
    <phoneticPr fontId="5" type="noConversion"/>
  </si>
  <si>
    <t>0968332805</t>
    <phoneticPr fontId="5" type="noConversion"/>
  </si>
  <si>
    <t>特殊</t>
    <phoneticPr fontId="5" type="noConversion"/>
  </si>
  <si>
    <t>儲藏室</t>
    <phoneticPr fontId="5" type="noConversion"/>
  </si>
  <si>
    <t>0905869011</t>
    <phoneticPr fontId="5" type="noConversion"/>
  </si>
  <si>
    <t>蔣忻妍</t>
    <phoneticPr fontId="5" type="noConversion"/>
  </si>
  <si>
    <t>0909173817</t>
    <phoneticPr fontId="5" type="noConversion"/>
  </si>
  <si>
    <t>10140415</t>
    <phoneticPr fontId="5" type="noConversion"/>
  </si>
  <si>
    <t>謝宜芳</t>
    <phoneticPr fontId="5" type="noConversion"/>
  </si>
  <si>
    <t>0916932328</t>
    <phoneticPr fontId="5" type="noConversion"/>
  </si>
  <si>
    <t>0905631706</t>
    <phoneticPr fontId="5" type="noConversion"/>
  </si>
  <si>
    <t>吳昀蓁</t>
    <phoneticPr fontId="5" type="noConversion"/>
  </si>
  <si>
    <t>0906763151</t>
    <phoneticPr fontId="5" type="noConversion"/>
  </si>
  <si>
    <t>0988652171</t>
    <phoneticPr fontId="5" type="noConversion"/>
  </si>
  <si>
    <t>健管室</t>
    <phoneticPr fontId="5" type="noConversion"/>
  </si>
  <si>
    <t>健康管理室</t>
    <phoneticPr fontId="5" type="noConversion"/>
  </si>
  <si>
    <t>宿管員</t>
    <phoneticPr fontId="5" type="noConversion"/>
  </si>
  <si>
    <t>林澄慧</t>
    <phoneticPr fontId="38" type="noConversion"/>
  </si>
  <si>
    <t>0908405645</t>
    <phoneticPr fontId="5" type="noConversion"/>
  </si>
  <si>
    <t>0922776616</t>
    <phoneticPr fontId="5" type="noConversion"/>
  </si>
  <si>
    <t>0966760212</t>
    <phoneticPr fontId="5" type="noConversion"/>
  </si>
  <si>
    <t>0968853865</t>
    <phoneticPr fontId="5" type="noConversion"/>
  </si>
  <si>
    <t>電機三丙</t>
    <phoneticPr fontId="5" type="noConversion"/>
  </si>
  <si>
    <t>馮梓媛</t>
    <phoneticPr fontId="5" type="noConversion"/>
  </si>
  <si>
    <t>0905476739</t>
    <phoneticPr fontId="5" type="noConversion"/>
  </si>
  <si>
    <t>0973411978</t>
    <phoneticPr fontId="5" type="noConversion"/>
  </si>
  <si>
    <t>0908792702</t>
    <phoneticPr fontId="5" type="noConversion"/>
  </si>
  <si>
    <t>0963812814</t>
    <phoneticPr fontId="5" type="noConversion"/>
  </si>
  <si>
    <t>0975662050</t>
    <phoneticPr fontId="5" type="noConversion"/>
  </si>
  <si>
    <t>0989092915</t>
    <phoneticPr fontId="5" type="noConversion"/>
  </si>
  <si>
    <t>蕭羽歆</t>
    <phoneticPr fontId="5" type="noConversion"/>
  </si>
  <si>
    <t>0981003823</t>
    <phoneticPr fontId="5" type="noConversion"/>
  </si>
  <si>
    <t>0909200571</t>
    <phoneticPr fontId="5" type="noConversion"/>
  </si>
  <si>
    <t>江亭儀</t>
    <phoneticPr fontId="5" type="noConversion"/>
  </si>
  <si>
    <t>0966580731</t>
    <phoneticPr fontId="5" type="noConversion"/>
  </si>
  <si>
    <t>0966484817</t>
    <phoneticPr fontId="5" type="noConversion"/>
  </si>
  <si>
    <t>0900636086</t>
    <phoneticPr fontId="5" type="noConversion"/>
  </si>
  <si>
    <t>0971892322</t>
    <phoneticPr fontId="5" type="noConversion"/>
  </si>
  <si>
    <t xml:space="preserve">人智一甲  </t>
  </si>
  <si>
    <t>陳星妤</t>
    <phoneticPr fontId="5" type="noConversion"/>
  </si>
  <si>
    <t>0966605196</t>
    <phoneticPr fontId="5" type="noConversion"/>
  </si>
  <si>
    <t>台灣</t>
    <phoneticPr fontId="5" type="noConversion"/>
  </si>
  <si>
    <t>學位生</t>
    <phoneticPr fontId="5" type="noConversion"/>
  </si>
  <si>
    <t>本地生</t>
    <phoneticPr fontId="5" type="noConversion"/>
  </si>
  <si>
    <t>大陸老師1</t>
    <phoneticPr fontId="5" type="noConversion"/>
  </si>
  <si>
    <t>中國</t>
    <phoneticPr fontId="5" type="noConversion"/>
  </si>
  <si>
    <t>大陸老師2</t>
    <phoneticPr fontId="5" type="noConversion"/>
  </si>
  <si>
    <t>建築三甲</t>
    <phoneticPr fontId="5" type="noConversion"/>
  </si>
  <si>
    <t>中國</t>
    <phoneticPr fontId="5" type="noConversion"/>
  </si>
  <si>
    <t>國際生</t>
    <phoneticPr fontId="5" type="noConversion"/>
  </si>
  <si>
    <t>數媒三甲</t>
    <phoneticPr fontId="5" type="noConversion"/>
  </si>
  <si>
    <t>中國</t>
    <phoneticPr fontId="5" type="noConversion"/>
  </si>
  <si>
    <t>國際生</t>
    <phoneticPr fontId="5" type="noConversion"/>
  </si>
  <si>
    <t>商設研一</t>
    <phoneticPr fontId="5" type="noConversion"/>
  </si>
  <si>
    <t>公行三甲</t>
    <phoneticPr fontId="5" type="noConversion"/>
  </si>
  <si>
    <t>餐旅二甲</t>
    <phoneticPr fontId="5" type="noConversion"/>
  </si>
  <si>
    <t>商設二甲</t>
    <phoneticPr fontId="5" type="noConversion"/>
  </si>
  <si>
    <t xml:space="preserve">觀光三甲  </t>
    <phoneticPr fontId="5" type="noConversion"/>
  </si>
  <si>
    <t>品設二甲</t>
    <phoneticPr fontId="5" type="noConversion"/>
  </si>
  <si>
    <t>數媒二甲</t>
    <phoneticPr fontId="5" type="noConversion"/>
  </si>
  <si>
    <t>觀光二甲</t>
    <phoneticPr fontId="5" type="noConversion"/>
  </si>
  <si>
    <t>許以潔</t>
    <phoneticPr fontId="5" type="noConversion"/>
  </si>
  <si>
    <t>0916926425</t>
    <phoneticPr fontId="5" type="noConversion"/>
  </si>
  <si>
    <t>4年</t>
    <phoneticPr fontId="5" type="noConversion"/>
  </si>
  <si>
    <t>台灣</t>
    <phoneticPr fontId="5" type="noConversion"/>
  </si>
  <si>
    <t>學位生</t>
    <phoneticPr fontId="5" type="noConversion"/>
  </si>
  <si>
    <t>本地生</t>
    <phoneticPr fontId="5" type="noConversion"/>
  </si>
  <si>
    <t>黃婷苡</t>
    <phoneticPr fontId="5" type="noConversion"/>
  </si>
  <si>
    <t>0928657363</t>
    <phoneticPr fontId="5" type="noConversion"/>
  </si>
  <si>
    <t>0965274898</t>
    <phoneticPr fontId="5" type="noConversion"/>
  </si>
  <si>
    <t>澳門</t>
    <phoneticPr fontId="5" type="noConversion"/>
  </si>
  <si>
    <t>僑生</t>
    <phoneticPr fontId="5" type="noConversion"/>
  </si>
  <si>
    <t>郭芯安</t>
    <phoneticPr fontId="5" type="noConversion"/>
  </si>
  <si>
    <t>0989031749</t>
    <phoneticPr fontId="5" type="noConversion"/>
  </si>
  <si>
    <t>4年</t>
    <phoneticPr fontId="5" type="noConversion"/>
  </si>
  <si>
    <t>台灣</t>
    <phoneticPr fontId="5" type="noConversion"/>
  </si>
  <si>
    <t>學位生</t>
    <phoneticPr fontId="5" type="noConversion"/>
  </si>
  <si>
    <t>本地生</t>
    <phoneticPr fontId="5" type="noConversion"/>
  </si>
  <si>
    <t>楊淯棋</t>
    <phoneticPr fontId="5" type="noConversion"/>
  </si>
  <si>
    <t>0931053096</t>
    <phoneticPr fontId="5" type="noConversion"/>
  </si>
  <si>
    <t>林筱軒</t>
    <phoneticPr fontId="5" type="noConversion"/>
  </si>
  <si>
    <t>0900778617</t>
    <phoneticPr fontId="5" type="noConversion"/>
  </si>
  <si>
    <t>4年</t>
    <phoneticPr fontId="5" type="noConversion"/>
  </si>
  <si>
    <t>台灣</t>
    <phoneticPr fontId="5" type="noConversion"/>
  </si>
  <si>
    <t>學位生</t>
    <phoneticPr fontId="5" type="noConversion"/>
  </si>
  <si>
    <t>本地生</t>
    <phoneticPr fontId="5" type="noConversion"/>
  </si>
  <si>
    <t>李侑芯</t>
    <phoneticPr fontId="5" type="noConversion"/>
  </si>
  <si>
    <t>0903027559</t>
    <phoneticPr fontId="5" type="noConversion"/>
  </si>
  <si>
    <t>0928333586</t>
    <phoneticPr fontId="5" type="noConversion"/>
  </si>
  <si>
    <t>11130952</t>
    <phoneticPr fontId="5" type="noConversion"/>
  </si>
  <si>
    <t>0966399463</t>
    <phoneticPr fontId="5" type="noConversion"/>
  </si>
  <si>
    <t>0980900158</t>
    <phoneticPr fontId="5" type="noConversion"/>
  </si>
  <si>
    <t>12600932</t>
    <phoneticPr fontId="5" type="noConversion"/>
  </si>
  <si>
    <t xml:space="preserve">0987445321          </t>
    <phoneticPr fontId="5" type="noConversion"/>
  </si>
  <si>
    <t>0981020080</t>
    <phoneticPr fontId="5" type="noConversion"/>
  </si>
  <si>
    <t>閔裔宸</t>
    <phoneticPr fontId="5" type="noConversion"/>
  </si>
  <si>
    <t>0980816080</t>
    <phoneticPr fontId="5" type="noConversion"/>
  </si>
  <si>
    <t>12480054</t>
    <phoneticPr fontId="5" type="noConversion"/>
  </si>
  <si>
    <t>觀光學程三</t>
    <phoneticPr fontId="5" type="noConversion"/>
  </si>
  <si>
    <t>神里常夏</t>
    <phoneticPr fontId="5" type="noConversion"/>
  </si>
  <si>
    <t>日本</t>
    <phoneticPr fontId="5" type="noConversion"/>
  </si>
  <si>
    <t>14442023</t>
    <phoneticPr fontId="5" type="noConversion"/>
  </si>
  <si>
    <t>應日三甲</t>
    <phoneticPr fontId="5" type="noConversion"/>
  </si>
  <si>
    <t>網師野愛華</t>
    <phoneticPr fontId="5" type="noConversion"/>
  </si>
  <si>
    <t>半年</t>
    <phoneticPr fontId="5" type="noConversion"/>
  </si>
  <si>
    <t>交換生</t>
    <phoneticPr fontId="5" type="noConversion"/>
  </si>
  <si>
    <t>114-1(半年)</t>
    <phoneticPr fontId="5" type="noConversion"/>
  </si>
  <si>
    <t>外交學程三</t>
    <phoneticPr fontId="5" type="noConversion"/>
  </si>
  <si>
    <t>小島知華</t>
    <phoneticPr fontId="5" type="noConversion"/>
  </si>
  <si>
    <t>0920101193</t>
    <phoneticPr fontId="5" type="noConversion"/>
  </si>
  <si>
    <t>半年</t>
    <phoneticPr fontId="5" type="noConversion"/>
  </si>
  <si>
    <t>日本</t>
    <phoneticPr fontId="5" type="noConversion"/>
  </si>
  <si>
    <t>交換生</t>
    <phoneticPr fontId="5" type="noConversion"/>
  </si>
  <si>
    <t>國際生</t>
    <phoneticPr fontId="5" type="noConversion"/>
  </si>
  <si>
    <t>114-1(半年)</t>
    <phoneticPr fontId="5" type="noConversion"/>
  </si>
  <si>
    <t>13140863</t>
    <phoneticPr fontId="5" type="noConversion"/>
  </si>
  <si>
    <t>阮氏明秋</t>
    <phoneticPr fontId="5" type="noConversion"/>
  </si>
  <si>
    <t>0916730464</t>
    <phoneticPr fontId="5" type="noConversion"/>
  </si>
  <si>
    <t>越南</t>
    <phoneticPr fontId="5" type="noConversion"/>
  </si>
  <si>
    <t>台信轉入(國專4)</t>
    <phoneticPr fontId="5" type="noConversion"/>
  </si>
  <si>
    <t>13140792</t>
    <phoneticPr fontId="5" type="noConversion"/>
  </si>
  <si>
    <t>阮黎懷商</t>
    <phoneticPr fontId="5" type="noConversion"/>
  </si>
  <si>
    <t>0989854279</t>
    <phoneticPr fontId="5" type="noConversion"/>
  </si>
  <si>
    <t>13180732</t>
    <phoneticPr fontId="5" type="noConversion"/>
  </si>
  <si>
    <t>阮氏白燕</t>
    <phoneticPr fontId="5" type="noConversion"/>
  </si>
  <si>
    <t>0976742420</t>
    <phoneticPr fontId="5" type="noConversion"/>
  </si>
  <si>
    <t>14842020</t>
    <phoneticPr fontId="5" type="noConversion"/>
  </si>
  <si>
    <t>電機三甲</t>
    <phoneticPr fontId="5" type="noConversion"/>
  </si>
  <si>
    <t>南韓</t>
    <phoneticPr fontId="5" type="noConversion"/>
  </si>
  <si>
    <t>建築一甲</t>
    <phoneticPr fontId="5" type="noConversion"/>
  </si>
  <si>
    <t>莊詠涵</t>
    <phoneticPr fontId="5" type="noConversion"/>
  </si>
  <si>
    <t>0905916195</t>
    <phoneticPr fontId="5" type="noConversion"/>
  </si>
  <si>
    <t>外交學程一</t>
    <phoneticPr fontId="38" type="noConversion"/>
  </si>
  <si>
    <t>PHAM HONG BANG</t>
    <phoneticPr fontId="38" type="noConversion"/>
  </si>
  <si>
    <t>黎阮何芳</t>
    <phoneticPr fontId="5" type="noConversion"/>
  </si>
  <si>
    <t>0901031700</t>
    <phoneticPr fontId="5" type="noConversion"/>
  </si>
  <si>
    <t>餐旅系</t>
    <phoneticPr fontId="5" type="noConversion"/>
  </si>
  <si>
    <t>0916446820</t>
    <phoneticPr fontId="38" type="noConversion"/>
  </si>
  <si>
    <t>1+4年</t>
    <phoneticPr fontId="5" type="noConversion"/>
  </si>
  <si>
    <t>國專班</t>
    <phoneticPr fontId="5" type="noConversion"/>
  </si>
  <si>
    <t>LE HA CHAU</t>
    <phoneticPr fontId="5" type="noConversion"/>
  </si>
  <si>
    <t>NGUYEN THU PHUONG</t>
    <phoneticPr fontId="5" type="noConversion"/>
  </si>
  <si>
    <t>PHAM KHANH HUYEN</t>
    <phoneticPr fontId="5" type="noConversion"/>
  </si>
  <si>
    <t>13391483</t>
    <phoneticPr fontId="38" type="noConversion"/>
  </si>
  <si>
    <t>丁燕玲</t>
    <phoneticPr fontId="38" type="noConversion"/>
  </si>
  <si>
    <t>0970107832</t>
    <phoneticPr fontId="5" type="noConversion"/>
  </si>
  <si>
    <t>金融一甲</t>
    <phoneticPr fontId="5" type="noConversion"/>
  </si>
  <si>
    <t>陳宜萱</t>
    <phoneticPr fontId="5" type="noConversion"/>
  </si>
  <si>
    <t>0965818380</t>
    <phoneticPr fontId="5" type="noConversion"/>
  </si>
  <si>
    <t>葉筱涵</t>
    <phoneticPr fontId="5" type="noConversion"/>
  </si>
  <si>
    <t>0905030229</t>
    <phoneticPr fontId="5" type="noConversion"/>
  </si>
  <si>
    <t>觀光學程一</t>
    <phoneticPr fontId="5" type="noConversion"/>
  </si>
  <si>
    <t>SOLIZ AMISHA VENESIA</t>
    <phoneticPr fontId="5" type="noConversion"/>
  </si>
  <si>
    <t>國際生</t>
    <phoneticPr fontId="5" type="noConversion"/>
  </si>
  <si>
    <t xml:space="preserve">觀光一甲  </t>
    <phoneticPr fontId="5" type="noConversion"/>
  </si>
  <si>
    <t>安藤夕雅</t>
    <phoneticPr fontId="5" type="noConversion"/>
  </si>
  <si>
    <t>日本</t>
    <phoneticPr fontId="5" type="noConversion"/>
  </si>
  <si>
    <t>觀光學程三</t>
    <phoneticPr fontId="5" type="noConversion"/>
  </si>
  <si>
    <t>THAN MAI PHUONG</t>
    <phoneticPr fontId="5" type="noConversion"/>
  </si>
  <si>
    <t>越南</t>
    <phoneticPr fontId="5" type="noConversion"/>
  </si>
  <si>
    <t>NGUYEN NGOC DIEM</t>
    <phoneticPr fontId="5" type="noConversion"/>
  </si>
  <si>
    <t>范氏明恆</t>
    <phoneticPr fontId="38" type="noConversion"/>
  </si>
  <si>
    <t>0970107808</t>
    <phoneticPr fontId="5" type="noConversion"/>
  </si>
  <si>
    <t>4年</t>
    <phoneticPr fontId="5" type="noConversion"/>
  </si>
  <si>
    <t>越南</t>
    <phoneticPr fontId="5" type="noConversion"/>
  </si>
  <si>
    <t>學位生</t>
    <phoneticPr fontId="5" type="noConversion"/>
  </si>
  <si>
    <t>丁氏河妝</t>
    <phoneticPr fontId="38" type="noConversion"/>
  </si>
  <si>
    <t>0981812483</t>
    <phoneticPr fontId="5" type="noConversion"/>
  </si>
  <si>
    <t>12590315</t>
    <phoneticPr fontId="5" type="noConversion"/>
  </si>
  <si>
    <t>馮阮草原</t>
    <phoneticPr fontId="5" type="noConversion"/>
  </si>
  <si>
    <t>0979350438</t>
    <phoneticPr fontId="5" type="noConversion"/>
  </si>
  <si>
    <t>0903545849</t>
    <phoneticPr fontId="5" type="noConversion"/>
  </si>
  <si>
    <t>范姜丹辰</t>
    <phoneticPr fontId="5" type="noConversion"/>
  </si>
  <si>
    <t>0902382025</t>
    <phoneticPr fontId="5" type="noConversion"/>
  </si>
  <si>
    <t>0970087956</t>
    <phoneticPr fontId="5" type="noConversion"/>
  </si>
  <si>
    <t>0970033594</t>
    <phoneticPr fontId="5" type="noConversion"/>
  </si>
  <si>
    <t>14840046</t>
    <phoneticPr fontId="5" type="noConversion"/>
  </si>
  <si>
    <t>電機一丙</t>
    <phoneticPr fontId="5" type="noConversion"/>
  </si>
  <si>
    <t>楊雅鑫</t>
    <phoneticPr fontId="5" type="noConversion"/>
  </si>
  <si>
    <t>0902330186</t>
    <phoneticPr fontId="5" type="noConversion"/>
  </si>
  <si>
    <t>0926713431</t>
    <phoneticPr fontId="5" type="noConversion"/>
  </si>
  <si>
    <t>0905908921</t>
    <phoneticPr fontId="5" type="noConversion"/>
  </si>
  <si>
    <t xml:space="preserve">電機四甲  </t>
    <phoneticPr fontId="5" type="noConversion"/>
  </si>
  <si>
    <t>商設三甲</t>
    <phoneticPr fontId="5" type="noConversion"/>
  </si>
  <si>
    <t>賴姿妤</t>
    <phoneticPr fontId="5" type="noConversion"/>
  </si>
  <si>
    <t>0900486722</t>
    <phoneticPr fontId="5" type="noConversion"/>
  </si>
  <si>
    <t>114年低收入戶</t>
    <phoneticPr fontId="5" type="noConversion"/>
  </si>
  <si>
    <t>電機三乙</t>
    <phoneticPr fontId="5" type="noConversion"/>
  </si>
  <si>
    <t xml:space="preserve">人智四甲  </t>
    <phoneticPr fontId="5" type="noConversion"/>
  </si>
  <si>
    <t>應日二甲</t>
    <phoneticPr fontId="5" type="noConversion"/>
  </si>
  <si>
    <t>台灣</t>
    <phoneticPr fontId="5" type="noConversion"/>
  </si>
  <si>
    <t>學位生</t>
    <phoneticPr fontId="5" type="noConversion"/>
  </si>
  <si>
    <t>本地生</t>
    <phoneticPr fontId="5" type="noConversion"/>
  </si>
  <si>
    <t>吳依恩</t>
    <phoneticPr fontId="5" type="noConversion"/>
  </si>
  <si>
    <t>0903195003</t>
    <phoneticPr fontId="5" type="noConversion"/>
  </si>
  <si>
    <t>4年</t>
    <phoneticPr fontId="5" type="noConversion"/>
  </si>
  <si>
    <t>0974048821</t>
    <phoneticPr fontId="5" type="noConversion"/>
  </si>
  <si>
    <t>0968002104</t>
    <phoneticPr fontId="5" type="noConversion"/>
  </si>
  <si>
    <t>11170235</t>
    <phoneticPr fontId="5" type="noConversion"/>
  </si>
  <si>
    <t>0965077851</t>
    <phoneticPr fontId="5" type="noConversion"/>
  </si>
  <si>
    <t>12400246</t>
    <phoneticPr fontId="7" type="noConversion"/>
  </si>
  <si>
    <t>醫管三乙</t>
    <phoneticPr fontId="5" type="noConversion"/>
  </si>
  <si>
    <t>趙翊廷</t>
    <phoneticPr fontId="38" type="noConversion"/>
  </si>
  <si>
    <t>0986277131</t>
    <phoneticPr fontId="5" type="noConversion"/>
  </si>
  <si>
    <t>12670480</t>
    <phoneticPr fontId="5" type="noConversion"/>
  </si>
  <si>
    <t>0908782899</t>
    <phoneticPr fontId="5" type="noConversion"/>
  </si>
  <si>
    <t>12050450</t>
    <phoneticPr fontId="5" type="noConversion"/>
  </si>
  <si>
    <t xml:space="preserve">電機三甲  </t>
    <phoneticPr fontId="5" type="noConversion"/>
  </si>
  <si>
    <t>0966748113</t>
    <phoneticPr fontId="5" type="noConversion"/>
  </si>
  <si>
    <t>數媒四丁</t>
    <phoneticPr fontId="5" type="noConversion"/>
  </si>
  <si>
    <t>劉珮慈</t>
    <phoneticPr fontId="5" type="noConversion"/>
  </si>
  <si>
    <t>0937166717</t>
    <phoneticPr fontId="5" type="noConversion"/>
  </si>
  <si>
    <t>0963615154</t>
    <phoneticPr fontId="5" type="noConversion"/>
  </si>
  <si>
    <t>台灣</t>
    <phoneticPr fontId="5" type="noConversion"/>
  </si>
  <si>
    <t>學位生</t>
    <phoneticPr fontId="5" type="noConversion"/>
  </si>
  <si>
    <t>本地生</t>
    <phoneticPr fontId="5" type="noConversion"/>
  </si>
  <si>
    <t>0935305186</t>
    <phoneticPr fontId="5" type="noConversion"/>
  </si>
  <si>
    <t>4年</t>
    <phoneticPr fontId="5" type="noConversion"/>
  </si>
  <si>
    <t>0979716850</t>
    <phoneticPr fontId="5" type="noConversion"/>
  </si>
  <si>
    <t>0972705988</t>
    <phoneticPr fontId="5" type="noConversion"/>
  </si>
  <si>
    <t>柳岑樺</t>
    <phoneticPr fontId="5" type="noConversion"/>
  </si>
  <si>
    <t>0932363666</t>
    <phoneticPr fontId="5" type="noConversion"/>
  </si>
  <si>
    <t>11230652</t>
    <phoneticPr fontId="5" type="noConversion"/>
  </si>
  <si>
    <t>0917926205</t>
    <phoneticPr fontId="5" type="noConversion"/>
  </si>
  <si>
    <t>澎湖</t>
    <phoneticPr fontId="5" type="noConversion"/>
  </si>
  <si>
    <t>心理一甲</t>
    <phoneticPr fontId="5" type="noConversion"/>
  </si>
  <si>
    <t>謝孟琪</t>
    <phoneticPr fontId="5" type="noConversion"/>
  </si>
  <si>
    <t>0918909866</t>
    <phoneticPr fontId="5" type="noConversion"/>
  </si>
  <si>
    <t>建築四甲</t>
    <phoneticPr fontId="5" type="noConversion"/>
  </si>
  <si>
    <t>簡立晴</t>
    <phoneticPr fontId="5" type="noConversion"/>
  </si>
  <si>
    <t>0982578866</t>
    <phoneticPr fontId="5" type="noConversion"/>
  </si>
  <si>
    <t>資工一甲</t>
    <phoneticPr fontId="5" type="noConversion"/>
  </si>
  <si>
    <t>陳俞佑</t>
    <phoneticPr fontId="5" type="noConversion"/>
  </si>
  <si>
    <t>0908363565</t>
    <phoneticPr fontId="5" type="noConversion"/>
  </si>
  <si>
    <t>觀光二乙</t>
    <phoneticPr fontId="5" type="noConversion"/>
  </si>
  <si>
    <t>休憩二乙</t>
    <phoneticPr fontId="5" type="noConversion"/>
  </si>
  <si>
    <t>楊  豔</t>
    <phoneticPr fontId="5" type="noConversion"/>
  </si>
  <si>
    <t>大陸老師</t>
    <phoneticPr fontId="5" type="noConversion"/>
  </si>
  <si>
    <t>資管三乙</t>
    <phoneticPr fontId="5" type="noConversion"/>
  </si>
  <si>
    <t>蘇玟臻</t>
    <phoneticPr fontId="5" type="noConversion"/>
  </si>
  <si>
    <t>0967120340</t>
    <phoneticPr fontId="5" type="noConversion"/>
  </si>
  <si>
    <t>休憩一甲</t>
    <phoneticPr fontId="5" type="noConversion"/>
  </si>
  <si>
    <t>曾俊惟</t>
    <phoneticPr fontId="5" type="noConversion"/>
  </si>
  <si>
    <t>0937882206</t>
    <phoneticPr fontId="5" type="noConversion"/>
  </si>
  <si>
    <t>14391295</t>
    <phoneticPr fontId="5" type="noConversion"/>
  </si>
  <si>
    <t>生科一丙</t>
    <phoneticPr fontId="5" type="noConversion"/>
  </si>
  <si>
    <t>武秋河</t>
    <phoneticPr fontId="5" type="noConversion"/>
  </si>
  <si>
    <t>國專班6期(越南籍):</t>
    <phoneticPr fontId="5" type="noConversion"/>
  </si>
  <si>
    <t>國專班7期(越南籍):</t>
    <phoneticPr fontId="5" type="noConversion"/>
  </si>
  <si>
    <t>2人包房</t>
    <phoneticPr fontId="38" type="noConversion"/>
  </si>
  <si>
    <t>無行政院補貼</t>
    <phoneticPr fontId="5" type="noConversion"/>
  </si>
  <si>
    <t>楊郁苹</t>
    <phoneticPr fontId="5" type="noConversion"/>
  </si>
  <si>
    <t>0906376628</t>
    <phoneticPr fontId="5" type="noConversion"/>
  </si>
  <si>
    <t>應日一甲</t>
    <phoneticPr fontId="5" type="noConversion"/>
  </si>
  <si>
    <t>李佳蓉</t>
    <phoneticPr fontId="5" type="noConversion"/>
  </si>
  <si>
    <t>0937071785</t>
    <phoneticPr fontId="5" type="noConversion"/>
  </si>
  <si>
    <t>人智二乙</t>
    <phoneticPr fontId="5" type="noConversion"/>
  </si>
  <si>
    <t>李昀潔</t>
    <phoneticPr fontId="5" type="noConversion"/>
  </si>
  <si>
    <t>0905244058</t>
    <phoneticPr fontId="5" type="noConversion"/>
  </si>
  <si>
    <t>盧昱蓁</t>
    <phoneticPr fontId="5" type="noConversion"/>
  </si>
  <si>
    <t>0972002323</t>
    <phoneticPr fontId="5" type="noConversion"/>
  </si>
  <si>
    <t>0965840586</t>
    <phoneticPr fontId="5" type="noConversion"/>
  </si>
  <si>
    <t>Pamela Ariel Matawan</t>
    <phoneticPr fontId="5" type="noConversion"/>
  </si>
  <si>
    <t>外交學程四</t>
    <phoneticPr fontId="5" type="noConversion"/>
  </si>
  <si>
    <t>邱  頤</t>
    <phoneticPr fontId="5" type="noConversion"/>
  </si>
  <si>
    <t>0978547387</t>
    <phoneticPr fontId="5" type="noConversion"/>
  </si>
  <si>
    <t>統資四甲</t>
    <phoneticPr fontId="5" type="noConversion"/>
  </si>
  <si>
    <t>蘇于晴</t>
    <phoneticPr fontId="5" type="noConversion"/>
  </si>
  <si>
    <t>0972859262</t>
    <phoneticPr fontId="5" type="noConversion"/>
  </si>
  <si>
    <t>巴布亞紐幾內亞</t>
    <phoneticPr fontId="5" type="noConversion"/>
  </si>
  <si>
    <t>巴紐</t>
    <phoneticPr fontId="5" type="noConversion"/>
  </si>
  <si>
    <t>文華四丁</t>
    <phoneticPr fontId="5" type="noConversion"/>
  </si>
  <si>
    <t>孫郁涵</t>
    <phoneticPr fontId="5" type="noConversion"/>
  </si>
  <si>
    <t>應日二甲</t>
    <phoneticPr fontId="5" type="noConversion"/>
  </si>
  <si>
    <t>0966362037</t>
    <phoneticPr fontId="5" type="noConversion"/>
  </si>
  <si>
    <t>醫管二乙</t>
    <phoneticPr fontId="5" type="noConversion"/>
  </si>
  <si>
    <t>陳怡臻</t>
    <phoneticPr fontId="5" type="noConversion"/>
  </si>
  <si>
    <t>0987651100</t>
    <phoneticPr fontId="5" type="noConversion"/>
  </si>
  <si>
    <t>心理四乙</t>
    <phoneticPr fontId="5" type="noConversion"/>
  </si>
  <si>
    <t>林依妘</t>
    <phoneticPr fontId="5" type="noConversion"/>
  </si>
  <si>
    <t>0903681065</t>
    <phoneticPr fontId="5" type="noConversion"/>
  </si>
  <si>
    <t>4年</t>
  </si>
  <si>
    <t>半年</t>
    <phoneticPr fontId="5" type="noConversion"/>
  </si>
  <si>
    <t>0976661442</t>
    <phoneticPr fontId="5" type="noConversion"/>
  </si>
  <si>
    <t>0912039279</t>
    <phoneticPr fontId="5" type="noConversion"/>
  </si>
  <si>
    <t>0965171739</t>
    <phoneticPr fontId="5" type="noConversion"/>
  </si>
  <si>
    <t>0936665566</t>
    <phoneticPr fontId="5" type="noConversion"/>
  </si>
  <si>
    <t>0900245037</t>
    <phoneticPr fontId="5" type="noConversion"/>
  </si>
  <si>
    <t>0970728876</t>
    <phoneticPr fontId="38" type="noConversion"/>
  </si>
  <si>
    <t>0975135547</t>
    <phoneticPr fontId="5" type="noConversion"/>
  </si>
  <si>
    <t>0965591729</t>
    <phoneticPr fontId="5" type="noConversion"/>
  </si>
  <si>
    <t>0915551031</t>
    <phoneticPr fontId="5" type="noConversion"/>
  </si>
  <si>
    <t>0971759381</t>
    <phoneticPr fontId="5" type="noConversion"/>
  </si>
  <si>
    <t>0982761549</t>
    <phoneticPr fontId="5" type="noConversion"/>
  </si>
  <si>
    <t>0963807675</t>
    <phoneticPr fontId="5" type="noConversion"/>
  </si>
  <si>
    <t xml:space="preserve">0975877680          </t>
    <phoneticPr fontId="5" type="noConversion"/>
  </si>
  <si>
    <t>0962008580</t>
    <phoneticPr fontId="5" type="noConversion"/>
  </si>
  <si>
    <t>0908305015</t>
  </si>
  <si>
    <t>0910923111</t>
    <phoneticPr fontId="5" type="noConversion"/>
  </si>
  <si>
    <t>0916726341</t>
    <phoneticPr fontId="5" type="noConversion"/>
  </si>
  <si>
    <t>0902316960</t>
    <phoneticPr fontId="5" type="noConversion"/>
  </si>
  <si>
    <t>4年</t>
    <phoneticPr fontId="5" type="noConversion"/>
  </si>
  <si>
    <t>0968691408</t>
    <phoneticPr fontId="5" type="noConversion"/>
  </si>
  <si>
    <t>0986617117</t>
    <phoneticPr fontId="5" type="noConversion"/>
  </si>
  <si>
    <t>0422660113</t>
    <phoneticPr fontId="5" type="noConversion"/>
  </si>
  <si>
    <t>德明宿舍114-1床位統計表</t>
    <phoneticPr fontId="38" type="noConversion"/>
  </si>
  <si>
    <t>心理二甲</t>
    <phoneticPr fontId="5" type="noConversion"/>
  </si>
  <si>
    <t xml:space="preserve">餐旅一乙  </t>
    <phoneticPr fontId="5" type="noConversion"/>
  </si>
  <si>
    <t>生科二丙</t>
    <phoneticPr fontId="38" type="noConversion"/>
  </si>
  <si>
    <t>077139079</t>
    <phoneticPr fontId="5" type="noConversion"/>
  </si>
  <si>
    <t>14015421</t>
    <phoneticPr fontId="38" type="noConversion"/>
  </si>
  <si>
    <t>梁氏蓮</t>
  </si>
  <si>
    <t>14015446</t>
  </si>
  <si>
    <t>趙氏如</t>
  </si>
  <si>
    <t xml:space="preserve">LUONG THI LIEN </t>
    <phoneticPr fontId="38" type="noConversion"/>
  </si>
  <si>
    <t>TRIEU THI NHU</t>
  </si>
  <si>
    <t>14015200</t>
  </si>
  <si>
    <t>段氏明書</t>
  </si>
  <si>
    <t>14013404</t>
  </si>
  <si>
    <t>陳氏玄莊</t>
  </si>
  <si>
    <t>DOAN THI MINH THU</t>
  </si>
  <si>
    <t>TRAN THI HUYEN TRANG</t>
  </si>
  <si>
    <t>14013563</t>
  </si>
  <si>
    <t>阮氏梅莊</t>
  </si>
  <si>
    <t>NGUYEN THI MAI TRANG</t>
    <phoneticPr fontId="38" type="noConversion"/>
  </si>
  <si>
    <t>14015332</t>
  </si>
  <si>
    <t>黃氏燕</t>
  </si>
  <si>
    <t>14015676</t>
  </si>
  <si>
    <t>阮氏兒</t>
  </si>
  <si>
    <t>14015694</t>
  </si>
  <si>
    <t>黃燕</t>
  </si>
  <si>
    <t xml:space="preserve">HUYNH THI YEN </t>
  </si>
  <si>
    <t xml:space="preserve">NGUYEN THI NHI </t>
  </si>
  <si>
    <t xml:space="preserve">HOANG YEN </t>
  </si>
  <si>
    <t>14011015</t>
  </si>
  <si>
    <t>黃氏映陽</t>
    <phoneticPr fontId="38" type="noConversion"/>
  </si>
  <si>
    <t>14015022</t>
  </si>
  <si>
    <t>賴氏玄莊</t>
  </si>
  <si>
    <t>14013032</t>
    <phoneticPr fontId="5" type="noConversion"/>
  </si>
  <si>
    <t>TRAN THI THANH THAO</t>
    <phoneticPr fontId="38" type="noConversion"/>
  </si>
  <si>
    <t>14013554</t>
    <phoneticPr fontId="38" type="noConversion"/>
  </si>
  <si>
    <t>陳草蘭</t>
  </si>
  <si>
    <t>觀光系</t>
    <phoneticPr fontId="38" type="noConversion"/>
  </si>
  <si>
    <t>TRAN THAO LAN</t>
  </si>
  <si>
    <t>14013191</t>
  </si>
  <si>
    <t>范氏玉簪</t>
  </si>
  <si>
    <t xml:space="preserve">PHAM THI NGOC TRAM </t>
  </si>
  <si>
    <t>14013041</t>
  </si>
  <si>
    <t>阮氏翠姮</t>
  </si>
  <si>
    <t>NGUYEN THI THUY HANG</t>
  </si>
  <si>
    <t>14015366</t>
  </si>
  <si>
    <t>黎氏玉欣</t>
  </si>
  <si>
    <t>14015430</t>
  </si>
  <si>
    <t>黃氏如意</t>
  </si>
  <si>
    <t>14015455</t>
  </si>
  <si>
    <t>范氏清姮</t>
  </si>
  <si>
    <t xml:space="preserve">LE THI NGOC HAN </t>
  </si>
  <si>
    <t>HUYNH THI NHU Y</t>
  </si>
  <si>
    <t>PHAM THI THANH HANG</t>
  </si>
  <si>
    <t>HOANG THI ANH DUONG</t>
    <phoneticPr fontId="38" type="noConversion"/>
  </si>
  <si>
    <t>LAI THI HUYEN TRANG</t>
    <phoneticPr fontId="38" type="noConversion"/>
  </si>
  <si>
    <t>資工一甲</t>
    <phoneticPr fontId="5" type="noConversion"/>
  </si>
  <si>
    <t>魏伊羚</t>
    <phoneticPr fontId="5" type="noConversion"/>
  </si>
  <si>
    <t>0968622086</t>
    <phoneticPr fontId="5" type="noConversion"/>
  </si>
  <si>
    <t>0963715696</t>
    <phoneticPr fontId="5" type="noConversion"/>
  </si>
  <si>
    <t>0972302420</t>
  </si>
  <si>
    <t xml:space="preserve">0975725091          </t>
    <phoneticPr fontId="5" type="noConversion"/>
  </si>
  <si>
    <t>0970071069</t>
    <phoneticPr fontId="5" type="noConversion"/>
  </si>
  <si>
    <t>0986417380</t>
  </si>
  <si>
    <t>0981705503</t>
  </si>
  <si>
    <t>0989622950</t>
  </si>
  <si>
    <t>0938792887</t>
  </si>
  <si>
    <t>0972941660</t>
  </si>
  <si>
    <t>0903321643</t>
  </si>
  <si>
    <t>0900506631</t>
  </si>
  <si>
    <t>0976205290</t>
  </si>
  <si>
    <t>0975634169</t>
  </si>
  <si>
    <t>0975734248</t>
  </si>
  <si>
    <t>0911726036</t>
  </si>
  <si>
    <t>0978376040</t>
  </si>
  <si>
    <t>0983459123</t>
  </si>
  <si>
    <t>0967100174</t>
  </si>
  <si>
    <t>0983090519</t>
  </si>
  <si>
    <t>0912402642</t>
  </si>
  <si>
    <t>0972941458</t>
  </si>
  <si>
    <t>0912402406</t>
  </si>
  <si>
    <t>0901242865</t>
  </si>
  <si>
    <t>0921729170</t>
  </si>
  <si>
    <t>0912402906</t>
  </si>
  <si>
    <t>0972941456</t>
  </si>
  <si>
    <t>0912402730</t>
  </si>
  <si>
    <t>0979522564</t>
    <phoneticPr fontId="38" type="noConversion"/>
  </si>
  <si>
    <t>0979521049</t>
    <phoneticPr fontId="38" type="noConversion"/>
  </si>
  <si>
    <t>0910116363</t>
    <phoneticPr fontId="38" type="noConversion"/>
  </si>
  <si>
    <t>0981193634</t>
    <phoneticPr fontId="38" type="noConversion"/>
  </si>
  <si>
    <t>0905343553</t>
    <phoneticPr fontId="38" type="noConversion"/>
  </si>
  <si>
    <t>0975475230</t>
    <phoneticPr fontId="38" type="noConversion"/>
  </si>
  <si>
    <t>0975475213</t>
    <phoneticPr fontId="38" type="noConversion"/>
  </si>
  <si>
    <t>0975475260</t>
    <phoneticPr fontId="38" type="noConversion"/>
  </si>
  <si>
    <t>0970601572</t>
    <phoneticPr fontId="38" type="noConversion"/>
  </si>
  <si>
    <t>0905343550</t>
    <phoneticPr fontId="38" type="noConversion"/>
  </si>
  <si>
    <t>0905343548</t>
    <phoneticPr fontId="38" type="noConversion"/>
  </si>
  <si>
    <t>0970019278</t>
    <phoneticPr fontId="38" type="noConversion"/>
  </si>
  <si>
    <t>0919136237</t>
    <phoneticPr fontId="38" type="noConversion"/>
  </si>
  <si>
    <t>0976460649</t>
    <phoneticPr fontId="38" type="noConversion"/>
  </si>
  <si>
    <t>0972854283</t>
    <phoneticPr fontId="38" type="noConversion"/>
  </si>
  <si>
    <t>0979525140</t>
    <phoneticPr fontId="38" type="noConversion"/>
  </si>
  <si>
    <t>0900384427</t>
    <phoneticPr fontId="38" type="noConversion"/>
  </si>
  <si>
    <t>087321887</t>
    <phoneticPr fontId="5" type="noConversion"/>
  </si>
  <si>
    <t>077317561</t>
    <phoneticPr fontId="5" type="noConversion"/>
  </si>
  <si>
    <t>0958986139</t>
    <phoneticPr fontId="5" type="noConversion"/>
  </si>
  <si>
    <t>0914111557</t>
    <phoneticPr fontId="5" type="noConversion"/>
  </si>
  <si>
    <t>0932741431</t>
    <phoneticPr fontId="5" type="noConversion"/>
  </si>
  <si>
    <t>0905359591</t>
    <phoneticPr fontId="5" type="noConversion"/>
  </si>
  <si>
    <t>0965388021</t>
    <phoneticPr fontId="5" type="noConversion"/>
  </si>
  <si>
    <t>037465399</t>
    <phoneticPr fontId="5" type="noConversion"/>
  </si>
  <si>
    <t>037731626</t>
    <phoneticPr fontId="5" type="noConversion"/>
  </si>
  <si>
    <t>0937693404</t>
    <phoneticPr fontId="5" type="noConversion"/>
  </si>
  <si>
    <t>0952734030</t>
    <phoneticPr fontId="5" type="noConversion"/>
  </si>
  <si>
    <t>0906742109</t>
    <phoneticPr fontId="5" type="noConversion"/>
  </si>
  <si>
    <t>0971819096</t>
    <phoneticPr fontId="5" type="noConversion"/>
  </si>
  <si>
    <t>0987688517</t>
    <phoneticPr fontId="5" type="noConversion"/>
  </si>
  <si>
    <t>0286425351</t>
    <phoneticPr fontId="5" type="noConversion"/>
  </si>
  <si>
    <t>0984373690</t>
    <phoneticPr fontId="5" type="noConversion"/>
  </si>
  <si>
    <t>0228344954</t>
    <phoneticPr fontId="5" type="noConversion"/>
  </si>
  <si>
    <t>0912600525</t>
    <phoneticPr fontId="5" type="noConversion"/>
  </si>
  <si>
    <t>0960921920</t>
    <phoneticPr fontId="5" type="noConversion"/>
  </si>
  <si>
    <t>0931963335</t>
    <phoneticPr fontId="5" type="noConversion"/>
  </si>
  <si>
    <t>0932804035</t>
    <phoneticPr fontId="5" type="noConversion"/>
  </si>
  <si>
    <t>0989487034</t>
  </si>
  <si>
    <t>0965433980</t>
  </si>
  <si>
    <t>0965433860</t>
  </si>
  <si>
    <t>0965433948</t>
  </si>
  <si>
    <t>0965433935</t>
  </si>
  <si>
    <t>0965433922</t>
  </si>
  <si>
    <t>0983449057</t>
  </si>
  <si>
    <t>0965434639</t>
  </si>
  <si>
    <t>0965434631</t>
  </si>
  <si>
    <t>0965234531</t>
  </si>
  <si>
    <t>0965434623</t>
  </si>
  <si>
    <t>0965434614</t>
  </si>
  <si>
    <t>0965434237</t>
  </si>
  <si>
    <t>0983454656</t>
  </si>
  <si>
    <t>0972254650</t>
  </si>
  <si>
    <t>0965434229</t>
  </si>
  <si>
    <t>0987692447</t>
  </si>
  <si>
    <t>0965434606</t>
  </si>
  <si>
    <t>0965434158</t>
  </si>
  <si>
    <t>0965433994</t>
  </si>
  <si>
    <t>0965434208</t>
  </si>
  <si>
    <t>0965434558</t>
  </si>
  <si>
    <t>0965434596</t>
  </si>
  <si>
    <t>0965434576</t>
  </si>
  <si>
    <t>外交學程一</t>
    <phoneticPr fontId="5" type="noConversion"/>
  </si>
  <si>
    <t>Mzwandile Brian Mavuso</t>
    <phoneticPr fontId="5" type="noConversion"/>
  </si>
  <si>
    <t>0907214834</t>
    <phoneticPr fontId="5" type="noConversion"/>
  </si>
  <si>
    <t>范越興</t>
    <phoneticPr fontId="5" type="noConversion"/>
  </si>
  <si>
    <t>醫工二甲</t>
    <phoneticPr fontId="5" type="noConversion"/>
  </si>
  <si>
    <t>陳嘉欣</t>
    <phoneticPr fontId="5" type="noConversion"/>
  </si>
  <si>
    <t>13240422</t>
    <phoneticPr fontId="5" type="noConversion"/>
  </si>
  <si>
    <t>建築二甲</t>
    <phoneticPr fontId="5" type="noConversion"/>
  </si>
  <si>
    <t>周凡恩</t>
    <phoneticPr fontId="5" type="noConversion"/>
  </si>
  <si>
    <t>0932940510</t>
    <phoneticPr fontId="5" type="noConversion"/>
  </si>
  <si>
    <t>王淑華</t>
    <phoneticPr fontId="5" type="noConversion"/>
  </si>
  <si>
    <t>都發三乙</t>
    <phoneticPr fontId="5" type="noConversion"/>
  </si>
  <si>
    <t>阮玲書</t>
    <phoneticPr fontId="5" type="noConversion"/>
  </si>
  <si>
    <t>0976755364</t>
    <phoneticPr fontId="5" type="noConversion"/>
  </si>
  <si>
    <t>學位生</t>
    <phoneticPr fontId="5" type="noConversion"/>
  </si>
  <si>
    <t>國際生</t>
    <phoneticPr fontId="5" type="noConversion"/>
  </si>
  <si>
    <t>自購洗衣機</t>
    <phoneticPr fontId="5" type="noConversion"/>
  </si>
  <si>
    <t>國專班第二期</t>
    <phoneticPr fontId="5" type="noConversion"/>
  </si>
  <si>
    <t>114.11.19</t>
    <phoneticPr fontId="38" type="noConversion"/>
  </si>
  <si>
    <t>春8班</t>
    <phoneticPr fontId="5" type="noConversion"/>
  </si>
  <si>
    <t>春12班</t>
    <phoneticPr fontId="5" type="noConversion"/>
  </si>
  <si>
    <r>
      <t>春12</t>
    </r>
    <r>
      <rPr>
        <sz val="12"/>
        <color rgb="FF000000"/>
        <rFont val="細明體"/>
        <family val="3"/>
        <charset val="136"/>
      </rPr>
      <t>班</t>
    </r>
    <phoneticPr fontId="5" type="noConversion"/>
  </si>
  <si>
    <r>
      <t>春8</t>
    </r>
    <r>
      <rPr>
        <sz val="12"/>
        <color rgb="FF000000"/>
        <rFont val="細明體"/>
        <family val="3"/>
        <charset val="136"/>
      </rPr>
      <t>班</t>
    </r>
    <phoneticPr fontId="5" type="noConversion"/>
  </si>
  <si>
    <t>春11班</t>
    <phoneticPr fontId="5" type="noConversion"/>
  </si>
  <si>
    <t>春1班</t>
    <phoneticPr fontId="5" type="noConversion"/>
  </si>
  <si>
    <t>春6班</t>
    <phoneticPr fontId="5" type="noConversion"/>
  </si>
  <si>
    <t>春7班</t>
    <phoneticPr fontId="5" type="noConversion"/>
  </si>
  <si>
    <t>春2班</t>
    <phoneticPr fontId="5" type="noConversion"/>
  </si>
  <si>
    <t>秋12班</t>
    <phoneticPr fontId="5" type="noConversion"/>
  </si>
  <si>
    <t>秋3班</t>
    <phoneticPr fontId="5" type="noConversion"/>
  </si>
  <si>
    <t>秋5班</t>
    <phoneticPr fontId="5" type="noConversion"/>
  </si>
  <si>
    <t>秋13班</t>
    <phoneticPr fontId="5" type="noConversion"/>
  </si>
  <si>
    <t>秋8班</t>
    <phoneticPr fontId="5" type="noConversion"/>
  </si>
  <si>
    <t>秋2班</t>
    <phoneticPr fontId="5" type="noConversion"/>
  </si>
  <si>
    <t>秋9班</t>
    <phoneticPr fontId="5" type="noConversion"/>
  </si>
  <si>
    <t>秋11班</t>
    <phoneticPr fontId="5" type="noConversion"/>
  </si>
  <si>
    <t>秋6班</t>
    <phoneticPr fontId="5" type="noConversion"/>
  </si>
  <si>
    <t>秋7班</t>
    <phoneticPr fontId="5" type="noConversion"/>
  </si>
  <si>
    <t>秋10班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</si>
</sst>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00"/>
    <numFmt numFmtId="177" formatCode="[$-F800]dddd\,\ mmmm\ dd\,\ yyyy"/>
  </numFmts>
  <fonts count="69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name val="標楷體"/>
      <family val="4"/>
      <charset val="136"/>
    </font>
    <font>
      <sz val="9"/>
      <name val="新細明體"/>
      <family val="1"/>
      <charset val="136"/>
    </font>
    <font>
      <sz val="12"/>
      <color theme="1"/>
      <name val="標楷體"/>
      <family val="4"/>
      <charset val="136"/>
    </font>
    <font>
      <sz val="12"/>
      <color indexed="8"/>
      <name val="標楷體"/>
      <family val="4"/>
      <charset val="136"/>
    </font>
    <font>
      <b/>
      <sz val="12"/>
      <name val="標楷體"/>
      <family val="4"/>
      <charset val="136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indexed="8"/>
      <name val="標楷體"/>
      <family val="4"/>
      <charset val="136"/>
    </font>
    <font>
      <sz val="10"/>
      <color indexed="8"/>
      <name val="標楷體"/>
      <family val="4"/>
      <charset val="136"/>
    </font>
    <font>
      <sz val="11"/>
      <color indexed="8"/>
      <name val="標楷體"/>
      <family val="4"/>
      <charset val="136"/>
    </font>
    <font>
      <sz val="11"/>
      <color theme="1"/>
      <name val="標楷體"/>
      <family val="4"/>
      <charset val="136"/>
    </font>
    <font>
      <sz val="11"/>
      <name val="標楷體"/>
      <family val="4"/>
      <charset val="136"/>
    </font>
    <font>
      <sz val="12"/>
      <name val="DengXian"/>
      <family val="1"/>
    </font>
    <font>
      <sz val="12"/>
      <name val="宋体"/>
      <family val="3"/>
      <charset val="134"/>
    </font>
    <font>
      <sz val="12"/>
      <color indexed="8"/>
      <name val="宋体"/>
      <charset val="134"/>
    </font>
    <font>
      <sz val="12"/>
      <color rgb="FF000000"/>
      <name val="新細明體"/>
      <family val="1"/>
    </font>
    <font>
      <sz val="12"/>
      <name val="宋体"/>
      <charset val="134"/>
    </font>
    <font>
      <b/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6"/>
      <color theme="1"/>
      <name val="標楷體"/>
      <family val="4"/>
      <charset val="136"/>
    </font>
    <font>
      <sz val="14"/>
      <color indexed="8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rgb="FFFF0000"/>
      <name val="新細明體"/>
      <family val="2"/>
      <scheme val="minor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8"/>
      <color theme="1"/>
      <name val="標楷體"/>
      <family val="4"/>
      <charset val="136"/>
    </font>
    <font>
      <sz val="12"/>
      <color rgb="FF7030A0"/>
      <name val="標楷體"/>
      <family val="4"/>
      <charset val="136"/>
    </font>
    <font>
      <b/>
      <sz val="9"/>
      <color indexed="8"/>
      <name val="標楷體"/>
      <family val="4"/>
      <charset val="136"/>
    </font>
    <font>
      <sz val="10"/>
      <color theme="1"/>
      <name val="標楷體"/>
      <family val="4"/>
      <charset val="136"/>
    </font>
    <font>
      <sz val="12"/>
      <color rgb="FF000000"/>
      <name val="標楷體"/>
      <family val="4"/>
      <charset val="136"/>
    </font>
    <font>
      <sz val="11"/>
      <color rgb="FF000000"/>
      <name val="돋움"/>
      <family val="2"/>
      <charset val="129"/>
    </font>
    <font>
      <sz val="12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rgb="FFFF0000"/>
      <name val="標楷體"/>
      <family val="4"/>
      <charset val="136"/>
    </font>
    <font>
      <sz val="9"/>
      <name val="標楷體"/>
      <family val="4"/>
      <charset val="136"/>
    </font>
    <font>
      <sz val="10"/>
      <name val="標楷體"/>
      <family val="4"/>
      <charset val="136"/>
    </font>
    <font>
      <sz val="10"/>
      <color rgb="FFFF0000"/>
      <name val="標楷體"/>
      <family val="4"/>
      <charset val="136"/>
    </font>
    <font>
      <sz val="8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9"/>
      <color rgb="FFFF0000"/>
      <name val="標楷體"/>
      <family val="4"/>
      <charset val="136"/>
    </font>
    <font>
      <b/>
      <sz val="10"/>
      <color rgb="FFFF0000"/>
      <name val="標楷體"/>
      <family val="4"/>
      <charset val="136"/>
    </font>
    <font>
      <b/>
      <sz val="12"/>
      <color rgb="FF0070C0"/>
      <name val="標楷體"/>
      <family val="4"/>
      <charset val="136"/>
    </font>
    <font>
      <sz val="12"/>
      <color rgb="FF000000"/>
      <name val="Arial"/>
      <family val="2"/>
    </font>
    <font>
      <u/>
      <sz val="11"/>
      <color rgb="FF0000FF"/>
      <name val="돋움"/>
      <family val="2"/>
      <charset val="129"/>
    </font>
    <font>
      <sz val="9"/>
      <color rgb="FF000000"/>
      <name val="標楷體"/>
      <family val="4"/>
      <charset val="136"/>
    </font>
    <font>
      <b/>
      <sz val="12"/>
      <color rgb="FF000000"/>
      <name val="標楷體"/>
      <family val="4"/>
      <charset val="136"/>
    </font>
    <font>
      <sz val="11"/>
      <color rgb="FF000000"/>
      <name val="標楷體"/>
      <family val="4"/>
      <charset val="136"/>
    </font>
    <font>
      <sz val="9"/>
      <color theme="1"/>
      <name val="新細明體"/>
      <family val="2"/>
      <scheme val="minor"/>
    </font>
    <font>
      <sz val="9"/>
      <color theme="1"/>
      <name val="新細明體"/>
      <family val="2"/>
      <charset val="136"/>
      <scheme val="minor"/>
    </font>
    <font>
      <sz val="10"/>
      <color rgb="FF000000"/>
      <name val="標楷體"/>
      <family val="4"/>
      <charset val="136"/>
    </font>
    <font>
      <sz val="10"/>
      <color theme="1"/>
      <name val="新細明體"/>
      <family val="2"/>
      <scheme val="minor"/>
    </font>
    <font>
      <sz val="8"/>
      <color theme="1"/>
      <name val="新細明體"/>
      <family val="2"/>
      <scheme val="minor"/>
    </font>
    <font>
      <sz val="8"/>
      <color theme="1"/>
      <name val="新細明體"/>
      <family val="2"/>
      <charset val="136"/>
      <scheme val="minor"/>
    </font>
    <font>
      <sz val="9"/>
      <color rgb="FFFF0000"/>
      <name val="Arial"/>
      <family val="2"/>
    </font>
    <font>
      <sz val="8"/>
      <color theme="1"/>
      <name val="新細明體"/>
      <family val="1"/>
      <charset val="136"/>
      <scheme val="minor"/>
    </font>
    <font>
      <sz val="6"/>
      <color theme="1"/>
      <name val="標楷體"/>
      <family val="4"/>
      <charset val="136"/>
    </font>
    <font>
      <sz val="9"/>
      <color theme="1"/>
      <name val="標楷體"/>
      <family val="4"/>
      <charset val="136"/>
    </font>
    <font>
      <sz val="12"/>
      <color theme="1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rgb="FFFF0000"/>
      <name val="新細明體"/>
      <family val="1"/>
      <charset val="136"/>
      <scheme val="minor"/>
    </font>
    <font>
      <sz val="7"/>
      <color theme="1"/>
      <name val="標楷體"/>
      <family val="4"/>
      <charset val="136"/>
    </font>
    <font>
      <sz val="12"/>
      <color rgb="FF000000"/>
      <name val="細明體"/>
      <family val="3"/>
      <charset val="136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6">
    <xf numFmtId="0" fontId="0" fillId="0" borderId="0"/>
    <xf numFmtId="0" fontId="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19" fillId="0" borderId="0" applyBorder="0">
      <alignment vertical="center"/>
    </xf>
    <xf numFmtId="177" fontId="3" fillId="0" borderId="0">
      <alignment vertical="center"/>
    </xf>
    <xf numFmtId="177" fontId="3" fillId="0" borderId="0">
      <alignment vertical="center"/>
    </xf>
    <xf numFmtId="177" fontId="21" fillId="0" borderId="0">
      <protection locked="0"/>
    </xf>
    <xf numFmtId="0" fontId="22" fillId="0" borderId="0">
      <alignment vertical="center"/>
    </xf>
    <xf numFmtId="0" fontId="12" fillId="0" borderId="0">
      <alignment vertical="center"/>
    </xf>
    <xf numFmtId="0" fontId="29" fillId="0" borderId="0" applyNumberFormat="0" applyFill="0" applyBorder="0" applyProtection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6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428">
    <xf numFmtId="0" fontId="0" fillId="0" borderId="0" xfId="0"/>
    <xf numFmtId="0" fontId="6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49" fontId="10" fillId="0" borderId="1" xfId="1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6" fillId="2" borderId="1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5" fillId="0" borderId="10" xfId="0" applyFont="1" applyBorder="1" applyAlignment="1">
      <alignment horizontal="center" vertical="center"/>
    </xf>
    <xf numFmtId="49" fontId="6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49" fontId="6" fillId="2" borderId="1" xfId="1" applyNumberFormat="1" applyFont="1" applyFill="1" applyBorder="1" applyAlignment="1">
      <alignment horizontal="center" vertical="center"/>
    </xf>
    <xf numFmtId="49" fontId="10" fillId="0" borderId="3" xfId="1" applyNumberFormat="1" applyFont="1" applyBorder="1" applyAlignment="1">
      <alignment horizontal="center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176" fontId="6" fillId="3" borderId="1" xfId="1" applyNumberFormat="1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0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/>
    </xf>
    <xf numFmtId="0" fontId="27" fillId="0" borderId="1" xfId="1" applyFont="1" applyBorder="1" applyAlignment="1">
      <alignment horizontal="center" vertical="center" wrapText="1"/>
    </xf>
    <xf numFmtId="49" fontId="6" fillId="0" borderId="5" xfId="1" applyNumberFormat="1" applyFont="1" applyBorder="1" applyAlignment="1">
      <alignment horizontal="center" vertical="center" wrapText="1"/>
    </xf>
    <xf numFmtId="49" fontId="6" fillId="0" borderId="4" xfId="1" applyNumberFormat="1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 wrapText="1"/>
    </xf>
    <xf numFmtId="0" fontId="24" fillId="4" borderId="10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49" fontId="23" fillId="2" borderId="1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/>
    </xf>
    <xf numFmtId="49" fontId="10" fillId="0" borderId="1" xfId="1" applyNumberFormat="1" applyFont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vertical="center"/>
    </xf>
    <xf numFmtId="49" fontId="32" fillId="3" borderId="1" xfId="1" applyNumberFormat="1" applyFont="1" applyFill="1" applyBorder="1" applyAlignment="1">
      <alignment horizontal="center" vertical="center" wrapText="1"/>
    </xf>
    <xf numFmtId="49" fontId="23" fillId="5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/>
    </xf>
    <xf numFmtId="0" fontId="10" fillId="0" borderId="1" xfId="1" applyFont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/>
    </xf>
    <xf numFmtId="49" fontId="10" fillId="0" borderId="1" xfId="1" applyNumberFormat="1" applyFont="1" applyBorder="1" applyAlignment="1">
      <alignment horizontal="left" vertical="center"/>
    </xf>
    <xf numFmtId="49" fontId="23" fillId="0" borderId="1" xfId="0" applyNumberFormat="1" applyFont="1" applyBorder="1" applyAlignment="1">
      <alignment horizontal="left" vertical="center"/>
    </xf>
    <xf numFmtId="49" fontId="23" fillId="2" borderId="0" xfId="0" applyNumberFormat="1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49" fontId="10" fillId="0" borderId="1" xfId="1" applyNumberFormat="1" applyFont="1" applyBorder="1" applyAlignment="1">
      <alignment horizontal="left" vertical="center" wrapText="1"/>
    </xf>
    <xf numFmtId="49" fontId="23" fillId="2" borderId="1" xfId="0" applyNumberFormat="1" applyFont="1" applyFill="1" applyBorder="1" applyAlignment="1">
      <alignment horizontal="left" vertical="center" wrapText="1"/>
    </xf>
    <xf numFmtId="49" fontId="27" fillId="0" borderId="1" xfId="1" applyNumberFormat="1" applyFont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49" fontId="6" fillId="5" borderId="1" xfId="1" applyNumberFormat="1" applyFont="1" applyFill="1" applyBorder="1" applyAlignment="1">
      <alignment horizontal="center" vertical="center" wrapText="1"/>
    </xf>
    <xf numFmtId="49" fontId="8" fillId="5" borderId="1" xfId="0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1" xfId="0" applyNumberFormat="1" applyFont="1" applyBorder="1"/>
    <xf numFmtId="49" fontId="8" fillId="0" borderId="1" xfId="0" applyNumberFormat="1" applyFont="1" applyBorder="1" applyAlignment="1">
      <alignment vertical="center"/>
    </xf>
    <xf numFmtId="49" fontId="8" fillId="0" borderId="1" xfId="0" applyNumberFormat="1" applyFont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49" fontId="6" fillId="5" borderId="1" xfId="1" applyNumberFormat="1" applyFont="1" applyFill="1" applyBorder="1" applyAlignment="1">
      <alignment horizontal="left" vertical="center"/>
    </xf>
    <xf numFmtId="49" fontId="6" fillId="5" borderId="1" xfId="1" applyNumberFormat="1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vertical="center"/>
    </xf>
    <xf numFmtId="49" fontId="6" fillId="5" borderId="1" xfId="0" applyNumberFormat="1" applyFont="1" applyFill="1" applyBorder="1" applyAlignment="1">
      <alignment horizontal="center" vertical="center"/>
    </xf>
    <xf numFmtId="49" fontId="6" fillId="0" borderId="3" xfId="1" applyNumberFormat="1" applyFont="1" applyBorder="1" applyAlignment="1">
      <alignment horizontal="center" vertical="center"/>
    </xf>
    <xf numFmtId="49" fontId="6" fillId="0" borderId="1" xfId="1" applyNumberFormat="1" applyFont="1" applyBorder="1">
      <alignment vertical="center"/>
    </xf>
    <xf numFmtId="49" fontId="8" fillId="0" borderId="1" xfId="0" applyNumberFormat="1" applyFont="1" applyBorder="1" applyAlignment="1">
      <alignment horizontal="left" vertical="center" wrapText="1"/>
    </xf>
    <xf numFmtId="0" fontId="28" fillId="0" borderId="0" xfId="0" applyFont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6" fillId="5" borderId="1" xfId="0" applyFont="1" applyFill="1" applyBorder="1" applyAlignment="1">
      <alignment horizontal="left" vertical="center"/>
    </xf>
    <xf numFmtId="0" fontId="27" fillId="0" borderId="1" xfId="0" applyFont="1" applyBorder="1"/>
    <xf numFmtId="0" fontId="27" fillId="0" borderId="1" xfId="0" applyFont="1" applyBorder="1" applyAlignment="1">
      <alignment horizontal="left" vertical="center"/>
    </xf>
    <xf numFmtId="49" fontId="8" fillId="0" borderId="0" xfId="0" applyNumberFormat="1" applyFont="1"/>
    <xf numFmtId="49" fontId="6" fillId="0" borderId="0" xfId="1" applyNumberFormat="1" applyFont="1" applyAlignment="1">
      <alignment horizontal="center" vertical="center"/>
    </xf>
    <xf numFmtId="0" fontId="27" fillId="0" borderId="1" xfId="1" applyFont="1" applyBorder="1" applyAlignment="1">
      <alignment horizontal="center" vertical="center"/>
    </xf>
    <xf numFmtId="0" fontId="27" fillId="0" borderId="1" xfId="1" applyFont="1" applyBorder="1" applyAlignment="1">
      <alignment horizontal="left" vertical="center" wrapText="1"/>
    </xf>
    <xf numFmtId="0" fontId="27" fillId="0" borderId="1" xfId="1" applyFont="1" applyBorder="1" applyAlignment="1">
      <alignment horizontal="left" vertical="center"/>
    </xf>
    <xf numFmtId="49" fontId="8" fillId="0" borderId="0" xfId="0" applyNumberFormat="1" applyFont="1" applyAlignment="1">
      <alignment vertical="center"/>
    </xf>
    <xf numFmtId="0" fontId="34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/>
    </xf>
    <xf numFmtId="0" fontId="41" fillId="0" borderId="1" xfId="1" applyFont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/>
    </xf>
    <xf numFmtId="49" fontId="10" fillId="7" borderId="1" xfId="1" applyNumberFormat="1" applyFont="1" applyFill="1" applyBorder="1" applyAlignment="1">
      <alignment horizontal="center" vertical="center" wrapText="1"/>
    </xf>
    <xf numFmtId="49" fontId="10" fillId="7" borderId="1" xfId="1" applyNumberFormat="1" applyFont="1" applyFill="1" applyBorder="1" applyAlignment="1">
      <alignment horizontal="center" vertical="center"/>
    </xf>
    <xf numFmtId="0" fontId="37" fillId="0" borderId="1" xfId="0" applyFont="1" applyBorder="1"/>
    <xf numFmtId="0" fontId="6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14" fillId="0" borderId="0" xfId="16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49" fontId="6" fillId="0" borderId="0" xfId="1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wrapText="1"/>
    </xf>
    <xf numFmtId="0" fontId="42" fillId="0" borderId="0" xfId="0" applyFont="1" applyAlignment="1">
      <alignment vertical="center" wrapText="1"/>
    </xf>
    <xf numFmtId="0" fontId="34" fillId="0" borderId="0" xfId="0" applyFont="1" applyAlignment="1">
      <alignment vertical="top"/>
    </xf>
    <xf numFmtId="49" fontId="6" fillId="0" borderId="1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49" fontId="8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/>
    </xf>
    <xf numFmtId="0" fontId="37" fillId="3" borderId="1" xfId="0" applyFont="1" applyFill="1" applyBorder="1"/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49" fontId="6" fillId="3" borderId="1" xfId="1" applyNumberFormat="1" applyFont="1" applyFill="1" applyBorder="1" applyAlignment="1">
      <alignment horizontal="center" vertical="center"/>
    </xf>
    <xf numFmtId="0" fontId="35" fillId="9" borderId="16" xfId="0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left" vertical="center"/>
    </xf>
    <xf numFmtId="49" fontId="6" fillId="0" borderId="1" xfId="1" applyNumberFormat="1" applyFont="1" applyBorder="1" applyAlignment="1">
      <alignment vertical="center" wrapText="1"/>
    </xf>
    <xf numFmtId="49" fontId="8" fillId="5" borderId="1" xfId="0" applyNumberFormat="1" applyFont="1" applyFill="1" applyBorder="1" applyAlignment="1">
      <alignment horizontal="left" vertical="center" wrapText="1"/>
    </xf>
    <xf numFmtId="49" fontId="6" fillId="0" borderId="0" xfId="0" applyNumberFormat="1" applyFont="1" applyAlignment="1">
      <alignment vertical="center"/>
    </xf>
    <xf numFmtId="49" fontId="8" fillId="0" borderId="1" xfId="0" applyNumberFormat="1" applyFont="1" applyBorder="1" applyAlignment="1">
      <alignment horizontal="left"/>
    </xf>
    <xf numFmtId="49" fontId="6" fillId="0" borderId="1" xfId="1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/>
    </xf>
    <xf numFmtId="0" fontId="27" fillId="0" borderId="0" xfId="0" applyFont="1"/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0" fontId="6" fillId="10" borderId="1" xfId="0" applyFont="1" applyFill="1" applyBorder="1" applyAlignment="1">
      <alignment horizontal="center" vertical="center"/>
    </xf>
    <xf numFmtId="0" fontId="40" fillId="0" borderId="1" xfId="1" applyFont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/>
    </xf>
    <xf numFmtId="0" fontId="8" fillId="11" borderId="1" xfId="0" applyFont="1" applyFill="1" applyBorder="1"/>
    <xf numFmtId="0" fontId="40" fillId="0" borderId="1" xfId="0" applyFont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left" vertical="center"/>
    </xf>
    <xf numFmtId="0" fontId="6" fillId="0" borderId="0" xfId="1" applyFont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8" fillId="0" borderId="0" xfId="0" applyNumberFormat="1" applyFont="1" applyAlignment="1">
      <alignment vertical="center" wrapText="1"/>
    </xf>
    <xf numFmtId="0" fontId="44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right"/>
    </xf>
    <xf numFmtId="0" fontId="45" fillId="0" borderId="1" xfId="1" applyFont="1" applyBorder="1" applyAlignment="1">
      <alignment horizontal="right" vertical="center"/>
    </xf>
    <xf numFmtId="0" fontId="45" fillId="0" borderId="1" xfId="1" applyFont="1" applyBorder="1" applyAlignment="1">
      <alignment horizontal="right" vertical="center" wrapText="1"/>
    </xf>
    <xf numFmtId="0" fontId="48" fillId="0" borderId="1" xfId="0" applyFont="1" applyBorder="1" applyAlignment="1">
      <alignment horizontal="right" vertical="center"/>
    </xf>
    <xf numFmtId="0" fontId="48" fillId="0" borderId="1" xfId="1" applyFont="1" applyBorder="1" applyAlignment="1">
      <alignment horizontal="right" vertical="center" wrapText="1"/>
    </xf>
    <xf numFmtId="49" fontId="10" fillId="2" borderId="0" xfId="1" applyNumberFormat="1" applyFont="1" applyFill="1" applyAlignment="1">
      <alignment horizontal="left" vertical="center"/>
    </xf>
    <xf numFmtId="49" fontId="10" fillId="2" borderId="0" xfId="1" applyNumberFormat="1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 wrapText="1"/>
    </xf>
    <xf numFmtId="0" fontId="10" fillId="2" borderId="0" xfId="1" applyFont="1" applyFill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49" fontId="10" fillId="0" borderId="4" xfId="1" applyNumberFormat="1" applyFont="1" applyBorder="1" applyAlignment="1">
      <alignment horizontal="center" vertical="center" wrapText="1"/>
    </xf>
    <xf numFmtId="49" fontId="10" fillId="0" borderId="4" xfId="1" applyNumberFormat="1" applyFont="1" applyBorder="1" applyAlignment="1">
      <alignment horizontal="left" vertical="center" wrapText="1"/>
    </xf>
    <xf numFmtId="49" fontId="10" fillId="2" borderId="4" xfId="0" applyNumberFormat="1" applyFont="1" applyFill="1" applyBorder="1" applyAlignment="1">
      <alignment horizontal="center" vertical="center"/>
    </xf>
    <xf numFmtId="0" fontId="10" fillId="0" borderId="4" xfId="1" applyFont="1" applyBorder="1" applyAlignment="1">
      <alignment horizontal="center" vertical="center" wrapText="1"/>
    </xf>
    <xf numFmtId="49" fontId="23" fillId="2" borderId="0" xfId="0" applyNumberFormat="1" applyFont="1" applyFill="1" applyAlignment="1">
      <alignment horizontal="center" vertical="center" wrapText="1"/>
    </xf>
    <xf numFmtId="49" fontId="10" fillId="0" borderId="0" xfId="1" applyNumberFormat="1" applyFont="1" applyAlignment="1">
      <alignment horizontal="center" vertical="center"/>
    </xf>
    <xf numFmtId="49" fontId="10" fillId="0" borderId="0" xfId="1" applyNumberFormat="1" applyFont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49" fontId="2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0" borderId="0" xfId="1" applyNumberFormat="1" applyFont="1" applyAlignment="1">
      <alignment horizontal="left" vertical="center" wrapText="1"/>
    </xf>
    <xf numFmtId="0" fontId="48" fillId="2" borderId="1" xfId="0" applyFont="1" applyFill="1" applyBorder="1" applyAlignment="1">
      <alignment horizontal="right" vertical="center"/>
    </xf>
    <xf numFmtId="0" fontId="6" fillId="0" borderId="0" xfId="1" applyFont="1" applyAlignment="1">
      <alignment horizontal="left" vertical="center"/>
    </xf>
    <xf numFmtId="0" fontId="43" fillId="0" borderId="1" xfId="1" applyFont="1" applyBorder="1" applyAlignment="1">
      <alignment horizontal="center" vertical="center" wrapText="1"/>
    </xf>
    <xf numFmtId="0" fontId="40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 wrapText="1"/>
    </xf>
    <xf numFmtId="0" fontId="35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49" fontId="8" fillId="13" borderId="1" xfId="0" applyNumberFormat="1" applyFont="1" applyFill="1" applyBorder="1" applyAlignment="1">
      <alignment horizontal="left" vertical="center"/>
    </xf>
    <xf numFmtId="49" fontId="8" fillId="13" borderId="1" xfId="0" applyNumberFormat="1" applyFont="1" applyFill="1" applyBorder="1" applyAlignment="1">
      <alignment horizontal="center" vertical="center"/>
    </xf>
    <xf numFmtId="49" fontId="8" fillId="13" borderId="1" xfId="0" applyNumberFormat="1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top"/>
    </xf>
    <xf numFmtId="0" fontId="34" fillId="0" borderId="0" xfId="0" applyFont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49" fontId="6" fillId="13" borderId="1" xfId="1" applyNumberFormat="1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49" fontId="6" fillId="0" borderId="2" xfId="1" applyNumberFormat="1" applyFont="1" applyBorder="1" applyAlignment="1">
      <alignment horizontal="center" vertical="center" wrapText="1"/>
    </xf>
    <xf numFmtId="49" fontId="8" fillId="5" borderId="1" xfId="0" applyNumberFormat="1" applyFont="1" applyFill="1" applyBorder="1" applyAlignment="1">
      <alignment vertical="top"/>
    </xf>
    <xf numFmtId="0" fontId="8" fillId="14" borderId="1" xfId="0" applyFont="1" applyFill="1" applyBorder="1" applyAlignment="1">
      <alignment horizontal="center" vertical="center"/>
    </xf>
    <xf numFmtId="49" fontId="8" fillId="14" borderId="1" xfId="0" applyNumberFormat="1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49" fontId="35" fillId="14" borderId="1" xfId="0" applyNumberFormat="1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center"/>
    </xf>
    <xf numFmtId="49" fontId="8" fillId="8" borderId="1" xfId="0" applyNumberFormat="1" applyFont="1" applyFill="1" applyBorder="1" applyAlignment="1">
      <alignment horizontal="center" vertical="center"/>
    </xf>
    <xf numFmtId="49" fontId="8" fillId="14" borderId="1" xfId="0" applyNumberFormat="1" applyFont="1" applyFill="1" applyBorder="1" applyAlignment="1">
      <alignment horizontal="left" vertical="center"/>
    </xf>
    <xf numFmtId="0" fontId="52" fillId="7" borderId="16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35" fillId="9" borderId="20" xfId="0" applyFont="1" applyFill="1" applyBorder="1" applyAlignment="1">
      <alignment horizontal="center" vertical="center" wrapText="1"/>
    </xf>
    <xf numFmtId="49" fontId="6" fillId="5" borderId="2" xfId="0" applyNumberFormat="1" applyFont="1" applyFill="1" applyBorder="1" applyAlignment="1">
      <alignment horizontal="center" vertical="center"/>
    </xf>
    <xf numFmtId="0" fontId="44" fillId="0" borderId="0" xfId="1" applyFont="1" applyAlignment="1">
      <alignment horizontal="left" vertical="center" wrapText="1"/>
    </xf>
    <xf numFmtId="0" fontId="46" fillId="0" borderId="0" xfId="0" applyFont="1" applyAlignment="1">
      <alignment horizontal="center" vertical="center"/>
    </xf>
    <xf numFmtId="0" fontId="47" fillId="0" borderId="0" xfId="1" applyFont="1" applyAlignment="1">
      <alignment horizontal="center" vertical="center" wrapText="1"/>
    </xf>
    <xf numFmtId="49" fontId="10" fillId="0" borderId="0" xfId="1" applyNumberFormat="1" applyFont="1" applyAlignment="1">
      <alignment horizontal="left" vertical="center"/>
    </xf>
    <xf numFmtId="49" fontId="13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left" vertical="center"/>
    </xf>
    <xf numFmtId="49" fontId="33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48" fillId="0" borderId="0" xfId="0" applyFont="1"/>
    <xf numFmtId="0" fontId="48" fillId="0" borderId="1" xfId="1" applyFont="1" applyBorder="1" applyAlignment="1">
      <alignment horizontal="right" vertical="center"/>
    </xf>
    <xf numFmtId="0" fontId="8" fillId="11" borderId="1" xfId="0" applyFont="1" applyFill="1" applyBorder="1" applyAlignment="1">
      <alignment horizontal="center" wrapText="1"/>
    </xf>
    <xf numFmtId="49" fontId="8" fillId="11" borderId="1" xfId="0" applyNumberFormat="1" applyFont="1" applyFill="1" applyBorder="1" applyAlignment="1">
      <alignment horizontal="left" vertical="center" wrapText="1"/>
    </xf>
    <xf numFmtId="49" fontId="8" fillId="5" borderId="1" xfId="0" applyNumberFormat="1" applyFont="1" applyFill="1" applyBorder="1" applyAlignment="1">
      <alignment horizontal="left" vertical="top"/>
    </xf>
    <xf numFmtId="0" fontId="8" fillId="5" borderId="1" xfId="0" applyFont="1" applyFill="1" applyBorder="1" applyAlignment="1">
      <alignment horizontal="center" vertical="top"/>
    </xf>
    <xf numFmtId="49" fontId="8" fillId="11" borderId="1" xfId="0" applyNumberFormat="1" applyFont="1" applyFill="1" applyBorder="1" applyAlignment="1">
      <alignment horizontal="left" vertical="center"/>
    </xf>
    <xf numFmtId="49" fontId="6" fillId="8" borderId="1" xfId="1" applyNumberFormat="1" applyFont="1" applyFill="1" applyBorder="1" applyAlignment="1">
      <alignment horizontal="center" vertical="center" wrapText="1"/>
    </xf>
    <xf numFmtId="0" fontId="42" fillId="0" borderId="0" xfId="1" applyFont="1" applyAlignment="1">
      <alignment horizontal="left" vertical="center" wrapText="1"/>
    </xf>
    <xf numFmtId="0" fontId="49" fillId="0" borderId="16" xfId="0" applyFont="1" applyBorder="1" applyAlignment="1">
      <alignment horizontal="center" vertical="center" wrapText="1"/>
    </xf>
    <xf numFmtId="49" fontId="6" fillId="11" borderId="1" xfId="24" applyNumberFormat="1" applyFont="1" applyFill="1" applyBorder="1" applyAlignment="1">
      <alignment horizontal="center" vertical="center"/>
    </xf>
    <xf numFmtId="0" fontId="6" fillId="11" borderId="1" xfId="1" applyFont="1" applyFill="1" applyBorder="1" applyAlignment="1">
      <alignment horizontal="center" vertical="center" wrapText="1"/>
    </xf>
    <xf numFmtId="49" fontId="6" fillId="13" borderId="1" xfId="1" applyNumberFormat="1" applyFont="1" applyFill="1" applyBorder="1" applyAlignment="1">
      <alignment horizontal="left" vertical="center" wrapText="1"/>
    </xf>
    <xf numFmtId="0" fontId="8" fillId="13" borderId="16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0" fontId="35" fillId="13" borderId="16" xfId="0" applyFont="1" applyFill="1" applyBorder="1" applyAlignment="1">
      <alignment horizontal="center" vertical="center"/>
    </xf>
    <xf numFmtId="0" fontId="35" fillId="0" borderId="16" xfId="0" applyFont="1" applyBorder="1" applyAlignment="1">
      <alignment horizontal="left" vertical="center"/>
    </xf>
    <xf numFmtId="0" fontId="49" fillId="0" borderId="19" xfId="0" applyFont="1" applyBorder="1" applyAlignment="1">
      <alignment horizontal="center" vertical="center" wrapText="1"/>
    </xf>
    <xf numFmtId="0" fontId="49" fillId="0" borderId="22" xfId="0" applyFont="1" applyBorder="1" applyAlignment="1">
      <alignment horizontal="center" vertical="center" wrapText="1"/>
    </xf>
    <xf numFmtId="49" fontId="6" fillId="0" borderId="2" xfId="1" applyNumberFormat="1" applyFont="1" applyBorder="1" applyAlignment="1">
      <alignment horizontal="center" vertical="center"/>
    </xf>
    <xf numFmtId="0" fontId="8" fillId="15" borderId="4" xfId="0" applyFont="1" applyFill="1" applyBorder="1" applyAlignment="1">
      <alignment horizontal="center" vertical="center"/>
    </xf>
    <xf numFmtId="49" fontId="8" fillId="5" borderId="4" xfId="0" applyNumberFormat="1" applyFont="1" applyFill="1" applyBorder="1"/>
    <xf numFmtId="0" fontId="0" fillId="0" borderId="1" xfId="0" applyBorder="1" applyAlignment="1">
      <alignment vertical="top"/>
    </xf>
    <xf numFmtId="0" fontId="8" fillId="1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0" fontId="8" fillId="5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left" vertical="center"/>
    </xf>
    <xf numFmtId="49" fontId="35" fillId="0" borderId="1" xfId="0" applyNumberFormat="1" applyFont="1" applyBorder="1" applyAlignment="1">
      <alignment horizontal="left" vertical="center" wrapText="1"/>
    </xf>
    <xf numFmtId="0" fontId="8" fillId="13" borderId="1" xfId="0" applyFont="1" applyFill="1" applyBorder="1" applyAlignment="1">
      <alignment horizontal="center"/>
    </xf>
    <xf numFmtId="0" fontId="35" fillId="0" borderId="21" xfId="0" applyFont="1" applyBorder="1" applyAlignment="1">
      <alignment horizontal="center" vertical="center"/>
    </xf>
    <xf numFmtId="0" fontId="35" fillId="0" borderId="21" xfId="0" applyFont="1" applyBorder="1" applyAlignment="1">
      <alignment horizontal="left" vertical="center"/>
    </xf>
    <xf numFmtId="49" fontId="8" fillId="5" borderId="1" xfId="3" applyNumberFormat="1" applyFont="1" applyFill="1" applyBorder="1" applyAlignment="1">
      <alignment horizontal="center" vertical="center"/>
    </xf>
    <xf numFmtId="0" fontId="8" fillId="5" borderId="1" xfId="3" applyFont="1" applyFill="1" applyBorder="1" applyAlignment="1">
      <alignment horizontal="center" vertical="center"/>
    </xf>
    <xf numFmtId="0" fontId="41" fillId="0" borderId="1" xfId="1" applyFont="1" applyBorder="1" applyAlignment="1">
      <alignment horizontal="left" vertical="center"/>
    </xf>
    <xf numFmtId="0" fontId="8" fillId="5" borderId="3" xfId="0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left" vertical="center"/>
    </xf>
    <xf numFmtId="49" fontId="6" fillId="15" borderId="1" xfId="1" applyNumberFormat="1" applyFont="1" applyFill="1" applyBorder="1" applyAlignment="1">
      <alignment horizontal="left" vertical="center" wrapText="1"/>
    </xf>
    <xf numFmtId="49" fontId="8" fillId="15" borderId="1" xfId="0" applyNumberFormat="1" applyFont="1" applyFill="1" applyBorder="1" applyAlignment="1">
      <alignment horizontal="left" vertical="center"/>
    </xf>
    <xf numFmtId="0" fontId="16" fillId="5" borderId="3" xfId="0" applyFont="1" applyFill="1" applyBorder="1" applyAlignment="1">
      <alignment horizontal="left" vertical="center"/>
    </xf>
    <xf numFmtId="0" fontId="6" fillId="11" borderId="1" xfId="24" applyFont="1" applyFill="1" applyBorder="1" applyAlignment="1">
      <alignment horizontal="center" vertical="center" wrapText="1"/>
    </xf>
    <xf numFmtId="0" fontId="35" fillId="14" borderId="1" xfId="0" applyFont="1" applyFill="1" applyBorder="1" applyAlignment="1">
      <alignment horizontal="left" vertical="center" wrapText="1"/>
    </xf>
    <xf numFmtId="49" fontId="17" fillId="15" borderId="1" xfId="1" applyNumberFormat="1" applyFont="1" applyFill="1" applyBorder="1" applyAlignment="1">
      <alignment horizontal="left" vertical="center"/>
    </xf>
    <xf numFmtId="0" fontId="0" fillId="15" borderId="1" xfId="0" applyFill="1" applyBorder="1" applyAlignment="1">
      <alignment horizontal="center" vertical="center"/>
    </xf>
    <xf numFmtId="0" fontId="54" fillId="15" borderId="1" xfId="0" applyFont="1" applyFill="1" applyBorder="1" applyAlignment="1">
      <alignment horizontal="center" vertical="center"/>
    </xf>
    <xf numFmtId="0" fontId="57" fillId="15" borderId="1" xfId="0" applyFont="1" applyFill="1" applyBorder="1" applyAlignment="1">
      <alignment horizontal="center" vertical="center"/>
    </xf>
    <xf numFmtId="0" fontId="58" fillId="15" borderId="1" xfId="0" applyFont="1" applyFill="1" applyBorder="1" applyAlignment="1">
      <alignment horizontal="center" vertical="center"/>
    </xf>
    <xf numFmtId="0" fontId="59" fillId="15" borderId="1" xfId="0" applyFont="1" applyFill="1" applyBorder="1" applyAlignment="1">
      <alignment horizontal="left" vertical="center"/>
    </xf>
    <xf numFmtId="0" fontId="58" fillId="15" borderId="1" xfId="0" applyFont="1" applyFill="1" applyBorder="1" applyAlignment="1">
      <alignment horizontal="left" vertical="center"/>
    </xf>
    <xf numFmtId="0" fontId="35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/>
    </xf>
    <xf numFmtId="0" fontId="55" fillId="15" borderId="1" xfId="0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 wrapText="1"/>
    </xf>
    <xf numFmtId="0" fontId="56" fillId="0" borderId="16" xfId="0" applyFont="1" applyBorder="1" applyAlignment="1">
      <alignment horizontal="center" vertical="center" wrapText="1"/>
    </xf>
    <xf numFmtId="0" fontId="61" fillId="15" borderId="1" xfId="0" applyFont="1" applyFill="1" applyBorder="1" applyAlignment="1">
      <alignment horizontal="left" vertical="center"/>
    </xf>
    <xf numFmtId="0" fontId="54" fillId="15" borderId="1" xfId="0" applyFont="1" applyFill="1" applyBorder="1" applyAlignment="1">
      <alignment horizontal="left" vertical="center"/>
    </xf>
    <xf numFmtId="49" fontId="8" fillId="0" borderId="1" xfId="3" applyNumberFormat="1" applyFont="1" applyBorder="1" applyAlignment="1">
      <alignment horizontal="center" vertical="center"/>
    </xf>
    <xf numFmtId="49" fontId="8" fillId="0" borderId="1" xfId="3" applyNumberFormat="1" applyFont="1" applyBorder="1" applyAlignment="1">
      <alignment horizontal="left" vertical="center"/>
    </xf>
    <xf numFmtId="176" fontId="10" fillId="0" borderId="1" xfId="1" applyNumberFormat="1" applyFont="1" applyBorder="1" applyAlignment="1">
      <alignment horizontal="center" vertical="center" wrapText="1"/>
    </xf>
    <xf numFmtId="176" fontId="6" fillId="0" borderId="1" xfId="1" applyNumberFormat="1" applyFont="1" applyBorder="1" applyAlignment="1">
      <alignment horizontal="center" vertical="center" wrapText="1"/>
    </xf>
    <xf numFmtId="176" fontId="6" fillId="0" borderId="1" xfId="1" applyNumberFormat="1" applyFont="1" applyBorder="1" applyAlignment="1">
      <alignment horizontal="center" vertical="center"/>
    </xf>
    <xf numFmtId="176" fontId="6" fillId="0" borderId="5" xfId="1" applyNumberFormat="1" applyFont="1" applyBorder="1" applyAlignment="1">
      <alignment horizontal="center" vertical="center"/>
    </xf>
    <xf numFmtId="49" fontId="6" fillId="0" borderId="5" xfId="1" applyNumberFormat="1" applyFont="1" applyBorder="1" applyAlignment="1">
      <alignment horizontal="center" vertical="center"/>
    </xf>
    <xf numFmtId="176" fontId="6" fillId="0" borderId="4" xfId="1" applyNumberFormat="1" applyFont="1" applyBorder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/>
    </xf>
    <xf numFmtId="176" fontId="6" fillId="0" borderId="0" xfId="1" applyNumberFormat="1" applyFont="1" applyAlignment="1">
      <alignment horizontal="center" vertical="center" wrapText="1"/>
    </xf>
    <xf numFmtId="176" fontId="6" fillId="0" borderId="4" xfId="1" applyNumberFormat="1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/>
    </xf>
    <xf numFmtId="49" fontId="6" fillId="10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6" fillId="0" borderId="2" xfId="1" applyNumberFormat="1" applyFont="1" applyBorder="1">
      <alignment vertical="center"/>
    </xf>
    <xf numFmtId="0" fontId="60" fillId="0" borderId="16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/>
    </xf>
    <xf numFmtId="0" fontId="6" fillId="11" borderId="1" xfId="24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/>
    </xf>
    <xf numFmtId="0" fontId="8" fillId="15" borderId="4" xfId="0" applyFont="1" applyFill="1" applyBorder="1" applyAlignment="1">
      <alignment horizontal="left" vertical="center"/>
    </xf>
    <xf numFmtId="0" fontId="8" fillId="15" borderId="1" xfId="0" applyFont="1" applyFill="1" applyBorder="1" applyAlignment="1">
      <alignment horizontal="left" vertical="top"/>
    </xf>
    <xf numFmtId="0" fontId="16" fillId="15" borderId="1" xfId="0" applyFont="1" applyFill="1" applyBorder="1" applyAlignment="1">
      <alignment horizontal="left" vertical="top"/>
    </xf>
    <xf numFmtId="0" fontId="16" fillId="15" borderId="1" xfId="0" applyFont="1" applyFill="1" applyBorder="1" applyAlignment="1">
      <alignment horizontal="left" vertical="center"/>
    </xf>
    <xf numFmtId="49" fontId="16" fillId="5" borderId="1" xfId="0" applyNumberFormat="1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49" fontId="6" fillId="13" borderId="1" xfId="0" applyNumberFormat="1" applyFont="1" applyFill="1" applyBorder="1" applyAlignment="1">
      <alignment horizontal="left" vertical="center"/>
    </xf>
    <xf numFmtId="49" fontId="6" fillId="13" borderId="23" xfId="0" applyNumberFormat="1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9" fillId="9" borderId="16" xfId="0" applyFont="1" applyFill="1" applyBorder="1" applyAlignment="1">
      <alignment horizontal="left" vertical="center" wrapText="1"/>
    </xf>
    <xf numFmtId="0" fontId="9" fillId="9" borderId="17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49" fontId="8" fillId="16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8" fillId="17" borderId="1" xfId="0" applyFont="1" applyFill="1" applyBorder="1" applyAlignment="1">
      <alignment horizontal="center" vertical="center"/>
    </xf>
    <xf numFmtId="0" fontId="35" fillId="13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 wrapText="1"/>
    </xf>
    <xf numFmtId="0" fontId="35" fillId="0" borderId="16" xfId="0" applyFont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left" vertical="center" wrapText="1"/>
    </xf>
    <xf numFmtId="0" fontId="46" fillId="0" borderId="1" xfId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/>
    </xf>
    <xf numFmtId="49" fontId="8" fillId="8" borderId="1" xfId="3" applyNumberFormat="1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63" fillId="5" borderId="1" xfId="0" applyFont="1" applyFill="1" applyBorder="1"/>
    <xf numFmtId="0" fontId="62" fillId="5" borderId="1" xfId="0" applyFont="1" applyFill="1" applyBorder="1" applyAlignment="1">
      <alignment horizontal="center" vertical="center"/>
    </xf>
    <xf numFmtId="49" fontId="8" fillId="5" borderId="1" xfId="0" applyNumberFormat="1" applyFont="1" applyFill="1" applyBorder="1"/>
    <xf numFmtId="0" fontId="17" fillId="0" borderId="1" xfId="1" applyFont="1" applyBorder="1" applyAlignment="1">
      <alignment horizontal="center" vertical="center"/>
    </xf>
    <xf numFmtId="49" fontId="6" fillId="8" borderId="1" xfId="1" applyNumberFormat="1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/>
    </xf>
    <xf numFmtId="49" fontId="6" fillId="8" borderId="1" xfId="0" applyNumberFormat="1" applyFont="1" applyFill="1" applyBorder="1" applyAlignment="1">
      <alignment horizontal="left" vertical="center"/>
    </xf>
    <xf numFmtId="0" fontId="44" fillId="0" borderId="1" xfId="1" applyFont="1" applyBorder="1" applyAlignment="1">
      <alignment horizontal="center" vertical="center" wrapText="1"/>
    </xf>
    <xf numFmtId="49" fontId="23" fillId="0" borderId="4" xfId="0" applyNumberFormat="1" applyFont="1" applyBorder="1" applyAlignment="1">
      <alignment horizontal="center" vertical="center" wrapText="1"/>
    </xf>
    <xf numFmtId="49" fontId="10" fillId="0" borderId="4" xfId="1" applyNumberFormat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49" fontId="23" fillId="2" borderId="0" xfId="0" applyNumberFormat="1" applyFont="1" applyFill="1" applyAlignment="1">
      <alignment vertical="center"/>
    </xf>
    <xf numFmtId="0" fontId="8" fillId="5" borderId="1" xfId="0" applyFont="1" applyFill="1" applyBorder="1" applyAlignment="1">
      <alignment vertical="center"/>
    </xf>
    <xf numFmtId="0" fontId="8" fillId="0" borderId="0" xfId="0" applyFont="1" applyAlignment="1">
      <alignment horizontal="left" vertical="top"/>
    </xf>
    <xf numFmtId="0" fontId="34" fillId="0" borderId="1" xfId="0" applyFont="1" applyBorder="1" applyAlignment="1">
      <alignment horizontal="center" vertical="center"/>
    </xf>
    <xf numFmtId="49" fontId="8" fillId="5" borderId="1" xfId="0" applyNumberFormat="1" applyFont="1" applyFill="1" applyBorder="1" applyAlignment="1">
      <alignment vertical="center"/>
    </xf>
    <xf numFmtId="49" fontId="8" fillId="11" borderId="1" xfId="0" applyNumberFormat="1" applyFont="1" applyFill="1" applyBorder="1" applyAlignment="1">
      <alignment horizontal="center" vertical="center"/>
    </xf>
    <xf numFmtId="49" fontId="17" fillId="5" borderId="1" xfId="1" applyNumberFormat="1" applyFont="1" applyFill="1" applyBorder="1" applyAlignment="1">
      <alignment horizontal="left" vertical="center"/>
    </xf>
    <xf numFmtId="0" fontId="54" fillId="5" borderId="1" xfId="0" applyFont="1" applyFill="1" applyBorder="1" applyAlignment="1">
      <alignment horizontal="center" vertical="center"/>
    </xf>
    <xf numFmtId="49" fontId="8" fillId="15" borderId="1" xfId="0" applyNumberFormat="1" applyFont="1" applyFill="1" applyBorder="1" applyAlignment="1">
      <alignment horizontal="center" vertical="center"/>
    </xf>
    <xf numFmtId="49" fontId="16" fillId="15" borderId="1" xfId="0" applyNumberFormat="1" applyFont="1" applyFill="1" applyBorder="1" applyAlignment="1">
      <alignment horizontal="center" vertical="center"/>
    </xf>
    <xf numFmtId="0" fontId="35" fillId="0" borderId="22" xfId="0" applyFont="1" applyBorder="1" applyAlignment="1">
      <alignment horizontal="center" vertical="center" wrapText="1"/>
    </xf>
    <xf numFmtId="0" fontId="53" fillId="0" borderId="19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6" fillId="17" borderId="1" xfId="1" applyNumberFormat="1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center" vertical="center"/>
    </xf>
    <xf numFmtId="49" fontId="16" fillId="17" borderId="1" xfId="0" applyNumberFormat="1" applyFont="1" applyFill="1" applyBorder="1" applyAlignment="1">
      <alignment horizontal="left" vertical="center"/>
    </xf>
    <xf numFmtId="49" fontId="8" fillId="17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0" fontId="8" fillId="16" borderId="1" xfId="0" applyFont="1" applyFill="1" applyBorder="1" applyAlignment="1">
      <alignment horizontal="center" vertical="center"/>
    </xf>
    <xf numFmtId="49" fontId="8" fillId="16" borderId="1" xfId="0" applyNumberFormat="1" applyFont="1" applyFill="1" applyBorder="1" applyAlignment="1">
      <alignment horizontal="left" vertical="center"/>
    </xf>
    <xf numFmtId="0" fontId="8" fillId="16" borderId="1" xfId="0" applyFont="1" applyFill="1" applyBorder="1" applyAlignment="1">
      <alignment horizontal="center"/>
    </xf>
    <xf numFmtId="49" fontId="6" fillId="16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49" fontId="6" fillId="16" borderId="1" xfId="1" applyNumberFormat="1" applyFont="1" applyFill="1" applyBorder="1" applyAlignment="1">
      <alignment horizontal="left" vertical="center" wrapText="1"/>
    </xf>
    <xf numFmtId="0" fontId="8" fillId="16" borderId="1" xfId="0" applyFont="1" applyFill="1" applyBorder="1" applyAlignment="1">
      <alignment horizontal="left" vertical="center"/>
    </xf>
    <xf numFmtId="0" fontId="34" fillId="5" borderId="1" xfId="0" applyFont="1" applyFill="1" applyBorder="1" applyAlignment="1">
      <alignment horizontal="left" vertical="center" wrapText="1"/>
    </xf>
    <xf numFmtId="49" fontId="42" fillId="5" borderId="1" xfId="1" applyNumberFormat="1" applyFont="1" applyFill="1" applyBorder="1" applyAlignment="1">
      <alignment horizontal="left" vertical="center" wrapText="1"/>
    </xf>
    <xf numFmtId="0" fontId="42" fillId="5" borderId="1" xfId="0" applyFont="1" applyFill="1" applyBorder="1" applyAlignment="1">
      <alignment horizontal="left" vertical="center" wrapText="1"/>
    </xf>
    <xf numFmtId="49" fontId="42" fillId="17" borderId="1" xfId="1" applyNumberFormat="1" applyFont="1" applyFill="1" applyBorder="1" applyAlignment="1">
      <alignment horizontal="left" vertical="center" wrapText="1"/>
    </xf>
    <xf numFmtId="49" fontId="8" fillId="5" borderId="4" xfId="0" applyNumberFormat="1" applyFont="1" applyFill="1" applyBorder="1" applyAlignment="1">
      <alignment horizontal="left" vertical="center"/>
    </xf>
    <xf numFmtId="49" fontId="35" fillId="16" borderId="1" xfId="0" applyNumberFormat="1" applyFont="1" applyFill="1" applyBorder="1" applyAlignment="1">
      <alignment horizontal="left" vertical="center"/>
    </xf>
    <xf numFmtId="49" fontId="8" fillId="13" borderId="1" xfId="25" applyNumberFormat="1" applyFont="1" applyFill="1" applyBorder="1" applyAlignment="1">
      <alignment horizontal="left" vertical="center"/>
    </xf>
    <xf numFmtId="49" fontId="6" fillId="13" borderId="1" xfId="1" applyNumberFormat="1" applyFont="1" applyFill="1" applyBorder="1" applyAlignment="1">
      <alignment horizontal="left" vertical="center"/>
    </xf>
    <xf numFmtId="49" fontId="8" fillId="13" borderId="1" xfId="25" applyNumberFormat="1" applyFont="1" applyFill="1" applyBorder="1" applyAlignment="1">
      <alignment horizontal="left" vertical="center" wrapText="1"/>
    </xf>
    <xf numFmtId="49" fontId="64" fillId="0" borderId="1" xfId="0" applyNumberFormat="1" applyFont="1" applyBorder="1" applyAlignment="1">
      <alignment horizontal="left" vertical="center"/>
    </xf>
    <xf numFmtId="0" fontId="4" fillId="0" borderId="1" xfId="1" applyBorder="1" applyAlignment="1">
      <alignment horizontal="center" vertical="center"/>
    </xf>
    <xf numFmtId="0" fontId="65" fillId="0" borderId="1" xfId="1" applyFont="1" applyBorder="1" applyAlignment="1">
      <alignment horizontal="center" vertical="center" wrapText="1"/>
    </xf>
    <xf numFmtId="49" fontId="64" fillId="0" borderId="1" xfId="0" applyNumberFormat="1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49" fontId="64" fillId="0" borderId="1" xfId="0" applyNumberFormat="1" applyFont="1" applyBorder="1" applyAlignment="1">
      <alignment vertical="center"/>
    </xf>
    <xf numFmtId="0" fontId="4" fillId="0" borderId="1" xfId="1" applyBorder="1" applyAlignment="1">
      <alignment horizontal="center" vertical="center" wrapText="1"/>
    </xf>
    <xf numFmtId="0" fontId="64" fillId="0" borderId="1" xfId="0" applyFont="1" applyBorder="1" applyAlignment="1">
      <alignment horizontal="left" vertical="center"/>
    </xf>
    <xf numFmtId="0" fontId="65" fillId="0" borderId="1" xfId="1" applyFont="1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49" fontId="12" fillId="0" borderId="1" xfId="0" applyNumberFormat="1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/>
    <xf numFmtId="0" fontId="66" fillId="0" borderId="1" xfId="1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top"/>
    </xf>
    <xf numFmtId="0" fontId="34" fillId="5" borderId="1" xfId="0" applyFont="1" applyFill="1" applyBorder="1" applyAlignment="1">
      <alignment horizontal="left" vertical="center"/>
    </xf>
    <xf numFmtId="0" fontId="67" fillId="5" borderId="1" xfId="0" applyFont="1" applyFill="1" applyBorder="1" applyAlignment="1">
      <alignment horizontal="center" vertical="center"/>
    </xf>
    <xf numFmtId="0" fontId="49" fillId="12" borderId="0" xfId="0" applyFont="1" applyFill="1" applyAlignment="1">
      <alignment horizontal="left" vertical="center" wrapText="1"/>
    </xf>
    <xf numFmtId="0" fontId="56" fillId="0" borderId="16" xfId="0" applyFont="1" applyBorder="1" applyAlignment="1">
      <alignment horizontal="left" vertical="center" wrapText="1"/>
    </xf>
    <xf numFmtId="0" fontId="51" fillId="0" borderId="16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16" fillId="17" borderId="1" xfId="0" applyFont="1" applyFill="1" applyBorder="1" applyAlignment="1">
      <alignment horizontal="left" vertical="top"/>
    </xf>
    <xf numFmtId="0" fontId="54" fillId="1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top"/>
    </xf>
    <xf numFmtId="0" fontId="54" fillId="8" borderId="1" xfId="0" applyFont="1" applyFill="1" applyBorder="1" applyAlignment="1">
      <alignment horizontal="center" vertical="center"/>
    </xf>
    <xf numFmtId="49" fontId="6" fillId="8" borderId="1" xfId="1" applyNumberFormat="1" applyFont="1" applyFill="1" applyBorder="1" applyAlignment="1">
      <alignment horizontal="left" vertical="center"/>
    </xf>
    <xf numFmtId="49" fontId="8" fillId="8" borderId="1" xfId="0" applyNumberFormat="1" applyFont="1" applyFill="1" applyBorder="1" applyAlignment="1">
      <alignment horizontal="center" vertical="center" wrapText="1"/>
    </xf>
    <xf numFmtId="49" fontId="6" fillId="5" borderId="3" xfId="1" applyNumberFormat="1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49" fontId="8" fillId="0" borderId="2" xfId="0" applyNumberFormat="1" applyFont="1" applyBorder="1" applyAlignment="1">
      <alignment horizontal="right"/>
    </xf>
    <xf numFmtId="49" fontId="8" fillId="0" borderId="3" xfId="0" applyNumberFormat="1" applyFont="1" applyBorder="1" applyAlignment="1">
      <alignment horizontal="right"/>
    </xf>
    <xf numFmtId="0" fontId="27" fillId="0" borderId="1" xfId="0" applyFont="1" applyBorder="1" applyAlignment="1">
      <alignment horizontal="right"/>
    </xf>
    <xf numFmtId="49" fontId="23" fillId="2" borderId="0" xfId="0" applyNumberFormat="1" applyFont="1" applyFill="1" applyAlignment="1">
      <alignment horizontal="center" vertical="center"/>
    </xf>
    <xf numFmtId="0" fontId="23" fillId="0" borderId="4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49" fontId="23" fillId="2" borderId="1" xfId="0" applyNumberFormat="1" applyFont="1" applyFill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</cellXfs>
  <cellStyles count="26">
    <cellStyle name="Normal 2" xfId="5" xr:uid="{00000000-0005-0000-0000-000000000000}"/>
    <cellStyle name="一般" xfId="0" builtinId="0"/>
    <cellStyle name="一般 10" xfId="21" xr:uid="{00000000-0005-0000-0000-000002000000}"/>
    <cellStyle name="一般 11" xfId="22" xr:uid="{00000000-0005-0000-0000-000003000000}"/>
    <cellStyle name="一般 112" xfId="15" xr:uid="{00000000-0005-0000-0000-000004000000}"/>
    <cellStyle name="一般 12" xfId="24" xr:uid="{00000000-0005-0000-0000-000005000000}"/>
    <cellStyle name="一般 13" xfId="25" xr:uid="{00000000-0005-0000-0000-000006000000}"/>
    <cellStyle name="一般 16" xfId="11" xr:uid="{00000000-0005-0000-0000-000007000000}"/>
    <cellStyle name="一般 2" xfId="3" xr:uid="{00000000-0005-0000-0000-000008000000}"/>
    <cellStyle name="一般 26" xfId="10" xr:uid="{00000000-0005-0000-0000-00000A000000}"/>
    <cellStyle name="一般 29" xfId="12" xr:uid="{00000000-0005-0000-0000-00000B000000}"/>
    <cellStyle name="一般 3" xfId="1" xr:uid="{00000000-0005-0000-0000-00000C000000}"/>
    <cellStyle name="一般 3 2" xfId="4" xr:uid="{00000000-0005-0000-0000-00000D000000}"/>
    <cellStyle name="一般 4" xfId="16" xr:uid="{00000000-0005-0000-0000-00000E000000}"/>
    <cellStyle name="一般 5" xfId="17" xr:uid="{00000000-0005-0000-0000-00000F000000}"/>
    <cellStyle name="一般 6" xfId="18" xr:uid="{00000000-0005-0000-0000-000010000000}"/>
    <cellStyle name="一般 7" xfId="2" xr:uid="{00000000-0005-0000-0000-000011000000}"/>
    <cellStyle name="一般 8" xfId="19" xr:uid="{00000000-0005-0000-0000-000012000000}"/>
    <cellStyle name="一般 9" xfId="20" xr:uid="{00000000-0005-0000-0000-000013000000}"/>
    <cellStyle name="常规 2" xfId="13" xr:uid="{00000000-0005-0000-0000-000014000000}"/>
    <cellStyle name="常规 3" xfId="8" xr:uid="{00000000-0005-0000-0000-000015000000}"/>
    <cellStyle name="常规 4" xfId="6" xr:uid="{00000000-0005-0000-0000-000016000000}"/>
    <cellStyle name="常规 5" xfId="7" xr:uid="{00000000-0005-0000-0000-000017000000}"/>
    <cellStyle name="常规 6" xfId="9" xr:uid="{00000000-0005-0000-0000-000018000000}"/>
    <cellStyle name="常规_工作表1" xfId="14" xr:uid="{00000000-0005-0000-0000-000019000000}"/>
    <cellStyle name="超連結" xfId="23" xr:uid="{00000000-0005-0000-0000-00001A000000}"/>
  </cellStyles>
  <dxfs count="24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41"/>
      <tableStyleElement type="headerRow" dxfId="24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4503;&#26126;&#23487;&#33293;/111&#23416;&#24180;&#24202;&#20301;&#32232;&#25490;/111-2&#24202;&#20301;&#32232;&#25490;/111-2&#36864;&#23487;&#26280;&#31354;&#24202;&#20301;&#31649;&#21046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退宿人員"/>
      <sheetName val="候補名單"/>
      <sheetName val="空床位"/>
      <sheetName val="待入住名單"/>
    </sheetNames>
    <sheetDataSet>
      <sheetData sheetId="0">
        <row r="19">
          <cell r="F19" t="str">
            <v>0979716223</v>
          </cell>
        </row>
        <row r="20">
          <cell r="D20" t="str">
            <v xml:space="preserve">華教一甲  </v>
          </cell>
          <cell r="E20" t="str">
            <v>李宜娟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05"/>
  <sheetViews>
    <sheetView tabSelected="1" zoomScaleNormal="100" zoomScaleSheetLayoutView="100" workbookViewId="0">
      <pane ySplit="1" topLeftCell="A102" activePane="bottomLeft" state="frozen"/>
      <selection pane="bottomLeft" activeCell="N111" sqref="N111"/>
    </sheetView>
  </sheetViews>
  <sheetFormatPr baseColWidth="10" defaultColWidth="9.19921875" defaultRowHeight="16"/>
  <cols>
    <col min="1" max="1" width="4.59765625" style="8" customWidth="1"/>
    <col min="2" max="2" width="6.3984375" style="8" customWidth="1"/>
    <col min="3" max="4" width="4.19921875" style="9" customWidth="1"/>
    <col min="5" max="5" width="5" style="9" customWidth="1"/>
    <col min="6" max="6" width="8.796875" style="287" customWidth="1"/>
    <col min="7" max="7" width="6" style="9" customWidth="1"/>
    <col min="8" max="8" width="13" style="31" customWidth="1"/>
    <col min="9" max="9" width="12.796875" style="46" customWidth="1"/>
    <col min="10" max="10" width="16" style="32" customWidth="1"/>
    <col min="11" max="11" width="14.19921875" style="44" customWidth="1"/>
    <col min="12" max="12" width="14" style="31" customWidth="1"/>
    <col min="13" max="13" width="10.19921875" style="31" customWidth="1"/>
    <col min="14" max="14" width="9" style="42" customWidth="1"/>
    <col min="15" max="15" width="11.19921875" style="42" customWidth="1"/>
    <col min="16" max="16" width="19.3984375" style="9" customWidth="1"/>
    <col min="17" max="17" width="15.59765625" style="119" customWidth="1"/>
    <col min="18" max="18" width="16.19921875" style="8" customWidth="1"/>
    <col min="19" max="16384" width="9.19921875" style="8"/>
  </cols>
  <sheetData>
    <row r="1" spans="1:21" ht="17">
      <c r="A1" s="2" t="s">
        <v>583</v>
      </c>
      <c r="B1" s="202" t="s">
        <v>186</v>
      </c>
      <c r="C1" s="2" t="s">
        <v>187</v>
      </c>
      <c r="D1" s="2" t="s">
        <v>188</v>
      </c>
      <c r="E1" s="2" t="s">
        <v>190</v>
      </c>
      <c r="F1" s="278" t="s">
        <v>304</v>
      </c>
      <c r="G1" s="2" t="s">
        <v>189</v>
      </c>
      <c r="H1" s="4" t="s">
        <v>205</v>
      </c>
      <c r="I1" s="49" t="s">
        <v>0</v>
      </c>
      <c r="J1" s="2" t="s">
        <v>1</v>
      </c>
      <c r="K1" s="4" t="s">
        <v>204</v>
      </c>
      <c r="L1" s="4" t="s">
        <v>678</v>
      </c>
      <c r="M1" s="2" t="s">
        <v>2</v>
      </c>
      <c r="N1" s="2" t="s">
        <v>307</v>
      </c>
      <c r="O1" s="2" t="s">
        <v>405</v>
      </c>
      <c r="P1" s="2" t="s">
        <v>406</v>
      </c>
    </row>
    <row r="2" spans="1:21" ht="17">
      <c r="A2" s="3" t="s">
        <v>583</v>
      </c>
      <c r="B2" s="197" t="s">
        <v>6</v>
      </c>
      <c r="C2" s="3" t="s">
        <v>3</v>
      </c>
      <c r="D2" s="3" t="s">
        <v>5</v>
      </c>
      <c r="E2" s="3">
        <v>3</v>
      </c>
      <c r="F2" s="279">
        <v>1231</v>
      </c>
      <c r="G2" s="3" t="s">
        <v>8</v>
      </c>
      <c r="H2" s="51" t="s">
        <v>1460</v>
      </c>
      <c r="I2" s="52"/>
      <c r="J2" s="51" t="s">
        <v>1460</v>
      </c>
      <c r="K2" s="13"/>
      <c r="L2" s="6"/>
      <c r="M2" s="53"/>
      <c r="N2" s="54"/>
      <c r="O2" s="1"/>
      <c r="P2" s="1"/>
    </row>
    <row r="3" spans="1:21" ht="17">
      <c r="A3" s="3" t="s">
        <v>583</v>
      </c>
      <c r="B3" s="197" t="s">
        <v>6</v>
      </c>
      <c r="C3" s="3" t="s">
        <v>3</v>
      </c>
      <c r="D3" s="3" t="s">
        <v>5</v>
      </c>
      <c r="E3" s="3">
        <v>3</v>
      </c>
      <c r="F3" s="279" t="s">
        <v>7</v>
      </c>
      <c r="G3" s="3" t="s">
        <v>9</v>
      </c>
      <c r="H3" s="5" t="s">
        <v>313</v>
      </c>
      <c r="I3" s="66" t="s">
        <v>551</v>
      </c>
      <c r="J3" s="5" t="s">
        <v>314</v>
      </c>
      <c r="K3" s="80" t="s">
        <v>384</v>
      </c>
      <c r="L3" s="6" t="s">
        <v>679</v>
      </c>
      <c r="M3" s="53" t="s">
        <v>308</v>
      </c>
      <c r="N3" s="54" t="s">
        <v>396</v>
      </c>
      <c r="O3" s="1" t="s">
        <v>582</v>
      </c>
      <c r="P3" s="1"/>
    </row>
    <row r="4" spans="1:21" ht="17">
      <c r="A4" s="3" t="s">
        <v>583</v>
      </c>
      <c r="B4" s="197" t="s">
        <v>6</v>
      </c>
      <c r="C4" s="3" t="s">
        <v>3</v>
      </c>
      <c r="D4" s="3" t="s">
        <v>5</v>
      </c>
      <c r="E4" s="3">
        <v>3</v>
      </c>
      <c r="F4" s="279" t="s">
        <v>7</v>
      </c>
      <c r="G4" s="3" t="s">
        <v>10</v>
      </c>
      <c r="H4" s="51" t="s">
        <v>1460</v>
      </c>
      <c r="I4" s="52"/>
      <c r="J4" s="51" t="s">
        <v>1460</v>
      </c>
      <c r="K4" s="13"/>
      <c r="L4" s="6"/>
      <c r="M4" s="53"/>
      <c r="N4" s="54"/>
      <c r="O4" s="1"/>
      <c r="P4" s="1"/>
    </row>
    <row r="5" spans="1:21" ht="17">
      <c r="A5" s="3" t="s">
        <v>583</v>
      </c>
      <c r="B5" s="197" t="s">
        <v>6</v>
      </c>
      <c r="C5" s="3" t="s">
        <v>3</v>
      </c>
      <c r="D5" s="3" t="s">
        <v>5</v>
      </c>
      <c r="E5" s="3">
        <v>3</v>
      </c>
      <c r="F5" s="279" t="s">
        <v>11</v>
      </c>
      <c r="G5" s="3" t="s">
        <v>8</v>
      </c>
      <c r="H5" s="58" t="s">
        <v>323</v>
      </c>
      <c r="I5" s="59" t="s">
        <v>1461</v>
      </c>
      <c r="J5" s="60" t="s">
        <v>324</v>
      </c>
      <c r="K5" s="81" t="s">
        <v>325</v>
      </c>
      <c r="L5" s="6" t="s">
        <v>679</v>
      </c>
      <c r="M5" s="53" t="s">
        <v>308</v>
      </c>
      <c r="N5" s="54" t="s">
        <v>396</v>
      </c>
      <c r="O5" s="1" t="s">
        <v>582</v>
      </c>
      <c r="P5" s="1"/>
    </row>
    <row r="6" spans="1:21" ht="19.5" customHeight="1">
      <c r="A6" s="3" t="s">
        <v>583</v>
      </c>
      <c r="B6" s="197" t="s">
        <v>6</v>
      </c>
      <c r="C6" s="3" t="s">
        <v>3</v>
      </c>
      <c r="D6" s="3" t="s">
        <v>5</v>
      </c>
      <c r="E6" s="3">
        <v>3</v>
      </c>
      <c r="F6" s="279" t="s">
        <v>11</v>
      </c>
      <c r="G6" s="3" t="s">
        <v>9</v>
      </c>
      <c r="H6" s="58" t="s">
        <v>321</v>
      </c>
      <c r="I6" s="59" t="s">
        <v>1461</v>
      </c>
      <c r="J6" s="60" t="s">
        <v>322</v>
      </c>
      <c r="K6" s="81" t="s">
        <v>385</v>
      </c>
      <c r="L6" s="6" t="s">
        <v>679</v>
      </c>
      <c r="M6" s="53" t="s">
        <v>308</v>
      </c>
      <c r="N6" s="54" t="s">
        <v>396</v>
      </c>
      <c r="O6" s="1" t="s">
        <v>582</v>
      </c>
      <c r="P6" s="1"/>
    </row>
    <row r="7" spans="1:21" ht="17">
      <c r="A7" s="3" t="s">
        <v>583</v>
      </c>
      <c r="B7" s="197" t="s">
        <v>6</v>
      </c>
      <c r="C7" s="3" t="s">
        <v>3</v>
      </c>
      <c r="D7" s="3" t="s">
        <v>5</v>
      </c>
      <c r="E7" s="3">
        <v>3</v>
      </c>
      <c r="F7" s="279">
        <v>1251</v>
      </c>
      <c r="G7" s="3" t="s">
        <v>207</v>
      </c>
      <c r="H7" s="51" t="s">
        <v>1460</v>
      </c>
      <c r="I7" s="52"/>
      <c r="J7" s="51" t="s">
        <v>1460</v>
      </c>
      <c r="K7" s="81"/>
      <c r="L7" s="6"/>
      <c r="M7" s="53"/>
      <c r="N7" s="54"/>
      <c r="O7" s="1"/>
      <c r="P7" s="1"/>
    </row>
    <row r="8" spans="1:21" ht="17">
      <c r="A8" s="3" t="s">
        <v>583</v>
      </c>
      <c r="B8" s="197" t="s">
        <v>6</v>
      </c>
      <c r="C8" s="3" t="s">
        <v>3</v>
      </c>
      <c r="D8" s="3" t="s">
        <v>5</v>
      </c>
      <c r="E8" s="3">
        <v>3</v>
      </c>
      <c r="F8" s="279" t="s">
        <v>12</v>
      </c>
      <c r="G8" s="3" t="s">
        <v>8</v>
      </c>
      <c r="H8" s="6">
        <v>12130055</v>
      </c>
      <c r="I8" s="66" t="s">
        <v>551</v>
      </c>
      <c r="J8" s="6" t="s">
        <v>398</v>
      </c>
      <c r="K8" s="66" t="s">
        <v>399</v>
      </c>
      <c r="L8" s="6" t="s">
        <v>679</v>
      </c>
      <c r="M8" s="53" t="s">
        <v>308</v>
      </c>
      <c r="N8" s="54" t="s">
        <v>396</v>
      </c>
      <c r="O8" s="1" t="s">
        <v>582</v>
      </c>
      <c r="P8" s="1"/>
    </row>
    <row r="9" spans="1:21" ht="17">
      <c r="A9" s="3" t="s">
        <v>583</v>
      </c>
      <c r="B9" s="197" t="s">
        <v>6</v>
      </c>
      <c r="C9" s="3" t="s">
        <v>3</v>
      </c>
      <c r="D9" s="3" t="s">
        <v>5</v>
      </c>
      <c r="E9" s="3">
        <v>3</v>
      </c>
      <c r="F9" s="279" t="s">
        <v>12</v>
      </c>
      <c r="G9" s="3" t="s">
        <v>9</v>
      </c>
      <c r="H9" s="6">
        <v>12130463</v>
      </c>
      <c r="I9" s="66" t="s">
        <v>551</v>
      </c>
      <c r="J9" s="6" t="s">
        <v>402</v>
      </c>
      <c r="K9" s="66" t="s">
        <v>1462</v>
      </c>
      <c r="L9" s="6" t="s">
        <v>679</v>
      </c>
      <c r="M9" s="53" t="s">
        <v>308</v>
      </c>
      <c r="N9" s="54" t="s">
        <v>396</v>
      </c>
      <c r="O9" s="1" t="s">
        <v>582</v>
      </c>
      <c r="P9" s="93"/>
    </row>
    <row r="10" spans="1:21" ht="17">
      <c r="A10" s="3" t="s">
        <v>583</v>
      </c>
      <c r="B10" s="197" t="s">
        <v>6</v>
      </c>
      <c r="C10" s="3" t="s">
        <v>3</v>
      </c>
      <c r="D10" s="3" t="s">
        <v>5</v>
      </c>
      <c r="E10" s="3">
        <v>3</v>
      </c>
      <c r="F10" s="279" t="s">
        <v>12</v>
      </c>
      <c r="G10" s="3" t="s">
        <v>10</v>
      </c>
      <c r="H10" s="6">
        <v>12131555</v>
      </c>
      <c r="I10" s="66" t="s">
        <v>551</v>
      </c>
      <c r="J10" s="6" t="s">
        <v>400</v>
      </c>
      <c r="K10" s="66" t="s">
        <v>401</v>
      </c>
      <c r="L10" s="6" t="s">
        <v>679</v>
      </c>
      <c r="M10" s="53" t="s">
        <v>308</v>
      </c>
      <c r="N10" s="54" t="s">
        <v>396</v>
      </c>
      <c r="O10" s="1" t="s">
        <v>582</v>
      </c>
      <c r="P10" s="1"/>
    </row>
    <row r="11" spans="1:21" ht="17">
      <c r="A11" s="3" t="s">
        <v>583</v>
      </c>
      <c r="B11" s="197" t="s">
        <v>6</v>
      </c>
      <c r="C11" s="3" t="s">
        <v>3</v>
      </c>
      <c r="D11" s="3" t="s">
        <v>5</v>
      </c>
      <c r="E11" s="3">
        <v>3</v>
      </c>
      <c r="F11" s="279" t="s">
        <v>13</v>
      </c>
      <c r="G11" s="3" t="s">
        <v>8</v>
      </c>
      <c r="H11" s="5" t="s">
        <v>694</v>
      </c>
      <c r="I11" s="66" t="s">
        <v>1279</v>
      </c>
      <c r="J11" s="5" t="s">
        <v>695</v>
      </c>
      <c r="K11" s="66" t="s">
        <v>696</v>
      </c>
      <c r="L11" s="6" t="s">
        <v>679</v>
      </c>
      <c r="M11" s="53" t="s">
        <v>308</v>
      </c>
      <c r="N11" s="54" t="s">
        <v>396</v>
      </c>
      <c r="O11" s="1" t="s">
        <v>582</v>
      </c>
      <c r="P11" s="230"/>
    </row>
    <row r="12" spans="1:21" ht="17">
      <c r="A12" s="3" t="s">
        <v>583</v>
      </c>
      <c r="B12" s="197" t="s">
        <v>6</v>
      </c>
      <c r="C12" s="3" t="s">
        <v>3</v>
      </c>
      <c r="D12" s="3" t="s">
        <v>5</v>
      </c>
      <c r="E12" s="3">
        <v>3</v>
      </c>
      <c r="F12" s="279" t="s">
        <v>13</v>
      </c>
      <c r="G12" s="3" t="s">
        <v>9</v>
      </c>
      <c r="H12" s="5" t="s">
        <v>697</v>
      </c>
      <c r="I12" s="66" t="s">
        <v>267</v>
      </c>
      <c r="J12" s="5" t="s">
        <v>698</v>
      </c>
      <c r="K12" s="66" t="s">
        <v>699</v>
      </c>
      <c r="L12" s="6" t="s">
        <v>679</v>
      </c>
      <c r="M12" s="53" t="s">
        <v>308</v>
      </c>
      <c r="N12" s="54" t="s">
        <v>396</v>
      </c>
      <c r="O12" s="1" t="s">
        <v>582</v>
      </c>
      <c r="P12" s="230"/>
    </row>
    <row r="13" spans="1:21" ht="17">
      <c r="A13" s="3" t="s">
        <v>583</v>
      </c>
      <c r="B13" s="197" t="s">
        <v>6</v>
      </c>
      <c r="C13" s="3" t="s">
        <v>3</v>
      </c>
      <c r="D13" s="3" t="s">
        <v>5</v>
      </c>
      <c r="E13" s="3">
        <v>3</v>
      </c>
      <c r="F13" s="279" t="s">
        <v>13</v>
      </c>
      <c r="G13" s="3" t="s">
        <v>10</v>
      </c>
      <c r="H13" s="5" t="s">
        <v>700</v>
      </c>
      <c r="I13" s="66" t="s">
        <v>513</v>
      </c>
      <c r="J13" s="5" t="s">
        <v>701</v>
      </c>
      <c r="K13" s="66" t="s">
        <v>702</v>
      </c>
      <c r="L13" s="6" t="s">
        <v>679</v>
      </c>
      <c r="M13" s="53" t="s">
        <v>308</v>
      </c>
      <c r="N13" s="54" t="s">
        <v>396</v>
      </c>
      <c r="O13" s="1" t="s">
        <v>582</v>
      </c>
      <c r="P13" s="1"/>
    </row>
    <row r="14" spans="1:21" ht="17">
      <c r="A14" s="3" t="s">
        <v>583</v>
      </c>
      <c r="B14" s="197" t="s">
        <v>6</v>
      </c>
      <c r="C14" s="3" t="s">
        <v>3</v>
      </c>
      <c r="D14" s="3" t="s">
        <v>5</v>
      </c>
      <c r="E14" s="3">
        <v>3</v>
      </c>
      <c r="F14" s="279" t="s">
        <v>14</v>
      </c>
      <c r="G14" s="3" t="s">
        <v>8</v>
      </c>
      <c r="H14" s="51" t="s">
        <v>1460</v>
      </c>
      <c r="I14" s="52"/>
      <c r="J14" s="51" t="s">
        <v>1463</v>
      </c>
      <c r="K14" s="68"/>
      <c r="L14" s="6"/>
      <c r="M14" s="53"/>
      <c r="N14" s="130"/>
      <c r="O14" s="1"/>
      <c r="P14" s="331"/>
      <c r="R14" s="85"/>
      <c r="S14" s="337"/>
      <c r="T14" s="85"/>
      <c r="U14" s="95"/>
    </row>
    <row r="15" spans="1:21" ht="17">
      <c r="A15" s="3" t="s">
        <v>583</v>
      </c>
      <c r="B15" s="197" t="s">
        <v>6</v>
      </c>
      <c r="C15" s="3" t="s">
        <v>3</v>
      </c>
      <c r="D15" s="3" t="s">
        <v>5</v>
      </c>
      <c r="E15" s="3">
        <v>3</v>
      </c>
      <c r="F15" s="279" t="s">
        <v>14</v>
      </c>
      <c r="G15" s="3" t="s">
        <v>9</v>
      </c>
      <c r="H15" s="51" t="s">
        <v>1460</v>
      </c>
      <c r="I15" s="52"/>
      <c r="J15" s="51" t="s">
        <v>1463</v>
      </c>
      <c r="K15" s="11"/>
      <c r="L15" s="6"/>
      <c r="M15" s="53"/>
      <c r="N15" s="130"/>
      <c r="O15" s="1"/>
      <c r="P15" s="1"/>
    </row>
    <row r="16" spans="1:21" ht="17">
      <c r="A16" s="3" t="s">
        <v>583</v>
      </c>
      <c r="B16" s="197" t="s">
        <v>6</v>
      </c>
      <c r="C16" s="3" t="s">
        <v>3</v>
      </c>
      <c r="D16" s="3" t="s">
        <v>5</v>
      </c>
      <c r="E16" s="3">
        <v>3</v>
      </c>
      <c r="F16" s="279" t="s">
        <v>14</v>
      </c>
      <c r="G16" s="3" t="s">
        <v>10</v>
      </c>
      <c r="H16" s="51" t="s">
        <v>1460</v>
      </c>
      <c r="I16" s="52"/>
      <c r="J16" s="51" t="s">
        <v>1463</v>
      </c>
      <c r="K16" s="11"/>
      <c r="L16" s="6"/>
      <c r="M16" s="53"/>
      <c r="N16" s="130"/>
      <c r="O16" s="1"/>
      <c r="P16" s="1"/>
    </row>
    <row r="17" spans="1:16" ht="17">
      <c r="A17" s="3" t="s">
        <v>583</v>
      </c>
      <c r="B17" s="197" t="s">
        <v>6</v>
      </c>
      <c r="C17" s="3" t="s">
        <v>3</v>
      </c>
      <c r="D17" s="3" t="s">
        <v>5</v>
      </c>
      <c r="E17" s="3">
        <v>3</v>
      </c>
      <c r="F17" s="279" t="s">
        <v>15</v>
      </c>
      <c r="G17" s="3" t="s">
        <v>8</v>
      </c>
      <c r="H17" s="67" t="s">
        <v>703</v>
      </c>
      <c r="I17" s="66" t="s">
        <v>916</v>
      </c>
      <c r="J17" s="5" t="s">
        <v>704</v>
      </c>
      <c r="K17" s="67" t="s">
        <v>705</v>
      </c>
      <c r="L17" s="6" t="s">
        <v>679</v>
      </c>
      <c r="M17" s="53" t="s">
        <v>308</v>
      </c>
      <c r="N17" s="54" t="s">
        <v>396</v>
      </c>
      <c r="O17" s="1" t="s">
        <v>582</v>
      </c>
      <c r="P17" s="230"/>
    </row>
    <row r="18" spans="1:16" ht="17">
      <c r="A18" s="3" t="s">
        <v>583</v>
      </c>
      <c r="B18" s="197" t="s">
        <v>6</v>
      </c>
      <c r="C18" s="3" t="s">
        <v>3</v>
      </c>
      <c r="D18" s="3" t="s">
        <v>5</v>
      </c>
      <c r="E18" s="3">
        <v>3</v>
      </c>
      <c r="F18" s="279" t="s">
        <v>15</v>
      </c>
      <c r="G18" s="3" t="s">
        <v>9</v>
      </c>
      <c r="H18" s="231" t="s">
        <v>706</v>
      </c>
      <c r="I18" s="294" t="s">
        <v>707</v>
      </c>
      <c r="J18" s="260" t="s">
        <v>708</v>
      </c>
      <c r="K18" s="227"/>
      <c r="L18" s="143" t="s">
        <v>679</v>
      </c>
      <c r="M18" s="144" t="s">
        <v>709</v>
      </c>
      <c r="N18" s="145" t="s">
        <v>396</v>
      </c>
      <c r="O18" s="232" t="s">
        <v>306</v>
      </c>
      <c r="P18" s="21" t="s">
        <v>306</v>
      </c>
    </row>
    <row r="19" spans="1:16" ht="17">
      <c r="A19" s="3" t="s">
        <v>583</v>
      </c>
      <c r="B19" s="197" t="s">
        <v>6</v>
      </c>
      <c r="C19" s="3" t="s">
        <v>3</v>
      </c>
      <c r="D19" s="3" t="s">
        <v>5</v>
      </c>
      <c r="E19" s="3">
        <v>3</v>
      </c>
      <c r="F19" s="279" t="s">
        <v>15</v>
      </c>
      <c r="G19" s="3" t="s">
        <v>10</v>
      </c>
      <c r="H19" s="67" t="s">
        <v>710</v>
      </c>
      <c r="I19" s="66" t="s">
        <v>916</v>
      </c>
      <c r="J19" s="5" t="s">
        <v>711</v>
      </c>
      <c r="K19" s="67" t="s">
        <v>1916</v>
      </c>
      <c r="L19" s="6" t="s">
        <v>679</v>
      </c>
      <c r="M19" s="53" t="s">
        <v>308</v>
      </c>
      <c r="N19" s="54" t="s">
        <v>396</v>
      </c>
      <c r="O19" s="1" t="s">
        <v>582</v>
      </c>
      <c r="P19" s="140" t="s">
        <v>712</v>
      </c>
    </row>
    <row r="20" spans="1:16" ht="17">
      <c r="A20" s="3" t="s">
        <v>583</v>
      </c>
      <c r="B20" s="197" t="s">
        <v>6</v>
      </c>
      <c r="C20" s="3" t="s">
        <v>3</v>
      </c>
      <c r="D20" s="3" t="s">
        <v>5</v>
      </c>
      <c r="E20" s="3">
        <v>3</v>
      </c>
      <c r="F20" s="279" t="s">
        <v>16</v>
      </c>
      <c r="G20" s="3" t="s">
        <v>8</v>
      </c>
      <c r="H20" s="5" t="s">
        <v>713</v>
      </c>
      <c r="I20" s="66" t="s">
        <v>916</v>
      </c>
      <c r="J20" s="5" t="s">
        <v>714</v>
      </c>
      <c r="K20" s="66" t="s">
        <v>715</v>
      </c>
      <c r="L20" s="6" t="s">
        <v>679</v>
      </c>
      <c r="M20" s="53" t="s">
        <v>308</v>
      </c>
      <c r="N20" s="54" t="s">
        <v>396</v>
      </c>
      <c r="O20" s="1" t="s">
        <v>582</v>
      </c>
      <c r="P20" s="140"/>
    </row>
    <row r="21" spans="1:16" ht="17">
      <c r="A21" s="3" t="s">
        <v>583</v>
      </c>
      <c r="B21" s="197" t="s">
        <v>6</v>
      </c>
      <c r="C21" s="3" t="s">
        <v>3</v>
      </c>
      <c r="D21" s="3" t="s">
        <v>5</v>
      </c>
      <c r="E21" s="3">
        <v>3</v>
      </c>
      <c r="F21" s="279" t="s">
        <v>16</v>
      </c>
      <c r="G21" s="3" t="s">
        <v>9</v>
      </c>
      <c r="H21" s="5" t="s">
        <v>268</v>
      </c>
      <c r="I21" s="66" t="s">
        <v>716</v>
      </c>
      <c r="J21" s="5" t="s">
        <v>250</v>
      </c>
      <c r="K21" s="81" t="s">
        <v>299</v>
      </c>
      <c r="L21" s="6" t="s">
        <v>679</v>
      </c>
      <c r="M21" s="53" t="s">
        <v>308</v>
      </c>
      <c r="N21" s="54" t="s">
        <v>396</v>
      </c>
      <c r="O21" s="1" t="s">
        <v>582</v>
      </c>
      <c r="P21" s="140"/>
    </row>
    <row r="22" spans="1:16" ht="17">
      <c r="A22" s="3" t="s">
        <v>583</v>
      </c>
      <c r="B22" s="197" t="s">
        <v>6</v>
      </c>
      <c r="C22" s="3" t="s">
        <v>3</v>
      </c>
      <c r="D22" s="3" t="s">
        <v>5</v>
      </c>
      <c r="E22" s="3">
        <v>3</v>
      </c>
      <c r="F22" s="279" t="s">
        <v>16</v>
      </c>
      <c r="G22" s="3" t="s">
        <v>10</v>
      </c>
      <c r="H22" s="5" t="s">
        <v>717</v>
      </c>
      <c r="I22" s="66" t="s">
        <v>920</v>
      </c>
      <c r="J22" s="5" t="s">
        <v>718</v>
      </c>
      <c r="K22" s="66" t="s">
        <v>719</v>
      </c>
      <c r="L22" s="6" t="s">
        <v>679</v>
      </c>
      <c r="M22" s="53" t="s">
        <v>308</v>
      </c>
      <c r="N22" s="54" t="s">
        <v>396</v>
      </c>
      <c r="O22" s="1" t="s">
        <v>582</v>
      </c>
      <c r="P22" s="140"/>
    </row>
    <row r="23" spans="1:16" ht="17">
      <c r="A23" s="3" t="s">
        <v>583</v>
      </c>
      <c r="B23" s="197" t="s">
        <v>6</v>
      </c>
      <c r="C23" s="3" t="s">
        <v>3</v>
      </c>
      <c r="D23" s="3" t="s">
        <v>5</v>
      </c>
      <c r="E23" s="3">
        <v>3</v>
      </c>
      <c r="F23" s="279" t="s">
        <v>17</v>
      </c>
      <c r="G23" s="3" t="s">
        <v>8</v>
      </c>
      <c r="H23" s="5" t="s">
        <v>744</v>
      </c>
      <c r="I23" s="66" t="s">
        <v>273</v>
      </c>
      <c r="J23" s="5" t="s">
        <v>745</v>
      </c>
      <c r="K23" s="66" t="s">
        <v>746</v>
      </c>
      <c r="L23" s="6" t="s">
        <v>679</v>
      </c>
      <c r="M23" s="53" t="s">
        <v>308</v>
      </c>
      <c r="N23" s="54" t="s">
        <v>396</v>
      </c>
      <c r="O23" s="1" t="s">
        <v>582</v>
      </c>
      <c r="P23" s="140" t="s">
        <v>747</v>
      </c>
    </row>
    <row r="24" spans="1:16" ht="17">
      <c r="A24" s="3" t="s">
        <v>583</v>
      </c>
      <c r="B24" s="197" t="s">
        <v>6</v>
      </c>
      <c r="C24" s="3" t="s">
        <v>3</v>
      </c>
      <c r="D24" s="3" t="s">
        <v>5</v>
      </c>
      <c r="E24" s="3">
        <v>3</v>
      </c>
      <c r="F24" s="279" t="s">
        <v>17</v>
      </c>
      <c r="G24" s="3" t="s">
        <v>9</v>
      </c>
      <c r="H24" s="5" t="s">
        <v>720</v>
      </c>
      <c r="I24" s="66" t="s">
        <v>270</v>
      </c>
      <c r="J24" s="5" t="s">
        <v>721</v>
      </c>
      <c r="K24" s="67" t="s">
        <v>722</v>
      </c>
      <c r="L24" s="6" t="s">
        <v>679</v>
      </c>
      <c r="M24" s="53" t="s">
        <v>308</v>
      </c>
      <c r="N24" s="54" t="s">
        <v>396</v>
      </c>
      <c r="O24" s="1" t="s">
        <v>582</v>
      </c>
      <c r="P24" s="140" t="s">
        <v>723</v>
      </c>
    </row>
    <row r="25" spans="1:16" ht="17">
      <c r="A25" s="3" t="s">
        <v>583</v>
      </c>
      <c r="B25" s="197" t="s">
        <v>6</v>
      </c>
      <c r="C25" s="3" t="s">
        <v>3</v>
      </c>
      <c r="D25" s="3" t="s">
        <v>5</v>
      </c>
      <c r="E25" s="3">
        <v>3</v>
      </c>
      <c r="F25" s="279" t="s">
        <v>17</v>
      </c>
      <c r="G25" s="3" t="s">
        <v>10</v>
      </c>
      <c r="H25" s="69">
        <v>12140023</v>
      </c>
      <c r="I25" s="133" t="s">
        <v>419</v>
      </c>
      <c r="J25" s="5" t="s">
        <v>392</v>
      </c>
      <c r="K25" s="68" t="s">
        <v>309</v>
      </c>
      <c r="L25" s="6" t="s">
        <v>679</v>
      </c>
      <c r="M25" s="53" t="s">
        <v>308</v>
      </c>
      <c r="N25" s="54" t="s">
        <v>396</v>
      </c>
      <c r="O25" s="1" t="s">
        <v>582</v>
      </c>
      <c r="P25" s="140"/>
    </row>
    <row r="26" spans="1:16" ht="17">
      <c r="A26" s="3" t="s">
        <v>583</v>
      </c>
      <c r="B26" s="197" t="s">
        <v>6</v>
      </c>
      <c r="C26" s="3" t="s">
        <v>3</v>
      </c>
      <c r="D26" s="3" t="s">
        <v>5</v>
      </c>
      <c r="E26" s="3">
        <v>3</v>
      </c>
      <c r="F26" s="279" t="s">
        <v>18</v>
      </c>
      <c r="G26" s="3" t="s">
        <v>8</v>
      </c>
      <c r="H26" s="5" t="s">
        <v>724</v>
      </c>
      <c r="I26" s="66" t="s">
        <v>270</v>
      </c>
      <c r="J26" s="5" t="s">
        <v>725</v>
      </c>
      <c r="K26" s="66" t="s">
        <v>1464</v>
      </c>
      <c r="L26" s="6" t="s">
        <v>679</v>
      </c>
      <c r="M26" s="53" t="s">
        <v>308</v>
      </c>
      <c r="N26" s="54" t="s">
        <v>396</v>
      </c>
      <c r="O26" s="1" t="s">
        <v>582</v>
      </c>
      <c r="P26" s="140" t="s">
        <v>726</v>
      </c>
    </row>
    <row r="27" spans="1:16" ht="17">
      <c r="A27" s="3" t="s">
        <v>583</v>
      </c>
      <c r="B27" s="197" t="s">
        <v>6</v>
      </c>
      <c r="C27" s="3" t="s">
        <v>3</v>
      </c>
      <c r="D27" s="3" t="s">
        <v>5</v>
      </c>
      <c r="E27" s="3">
        <v>3</v>
      </c>
      <c r="F27" s="279" t="s">
        <v>18</v>
      </c>
      <c r="G27" s="3" t="s">
        <v>9</v>
      </c>
      <c r="H27" s="5" t="s">
        <v>727</v>
      </c>
      <c r="I27" s="66" t="s">
        <v>270</v>
      </c>
      <c r="J27" s="5" t="s">
        <v>728</v>
      </c>
      <c r="K27" s="67" t="s">
        <v>729</v>
      </c>
      <c r="L27" s="6" t="s">
        <v>679</v>
      </c>
      <c r="M27" s="53" t="s">
        <v>308</v>
      </c>
      <c r="N27" s="54" t="s">
        <v>396</v>
      </c>
      <c r="O27" s="1" t="s">
        <v>582</v>
      </c>
      <c r="P27" s="140" t="s">
        <v>730</v>
      </c>
    </row>
    <row r="28" spans="1:16" ht="17">
      <c r="A28" s="3" t="s">
        <v>583</v>
      </c>
      <c r="B28" s="197" t="s">
        <v>6</v>
      </c>
      <c r="C28" s="3" t="s">
        <v>3</v>
      </c>
      <c r="D28" s="3" t="s">
        <v>5</v>
      </c>
      <c r="E28" s="3">
        <v>3</v>
      </c>
      <c r="F28" s="279">
        <v>1092</v>
      </c>
      <c r="G28" s="3" t="s">
        <v>10</v>
      </c>
      <c r="H28" s="5" t="s">
        <v>731</v>
      </c>
      <c r="I28" s="66" t="s">
        <v>924</v>
      </c>
      <c r="J28" s="5" t="s">
        <v>732</v>
      </c>
      <c r="K28" s="66" t="s">
        <v>1465</v>
      </c>
      <c r="L28" s="6" t="s">
        <v>679</v>
      </c>
      <c r="M28" s="53" t="s">
        <v>308</v>
      </c>
      <c r="N28" s="54" t="s">
        <v>396</v>
      </c>
      <c r="O28" s="1" t="s">
        <v>582</v>
      </c>
      <c r="P28" s="140" t="s">
        <v>733</v>
      </c>
    </row>
    <row r="29" spans="1:16" ht="17">
      <c r="A29" s="3" t="s">
        <v>583</v>
      </c>
      <c r="B29" s="197" t="s">
        <v>6</v>
      </c>
      <c r="C29" s="3" t="s">
        <v>3</v>
      </c>
      <c r="D29" s="3" t="s">
        <v>5</v>
      </c>
      <c r="E29" s="3">
        <v>3</v>
      </c>
      <c r="F29" s="279" t="s">
        <v>19</v>
      </c>
      <c r="G29" s="3" t="s">
        <v>8</v>
      </c>
      <c r="H29" s="194" t="s">
        <v>734</v>
      </c>
      <c r="I29" s="233" t="s">
        <v>1466</v>
      </c>
      <c r="J29" s="234" t="s">
        <v>735</v>
      </c>
      <c r="K29" s="368" t="s">
        <v>2052</v>
      </c>
      <c r="L29" s="188" t="s">
        <v>1905</v>
      </c>
      <c r="M29" s="186" t="s">
        <v>599</v>
      </c>
      <c r="N29" s="235" t="s">
        <v>736</v>
      </c>
      <c r="O29" s="53" t="s">
        <v>581</v>
      </c>
      <c r="P29" s="140"/>
    </row>
    <row r="30" spans="1:16" ht="17">
      <c r="A30" s="3" t="s">
        <v>583</v>
      </c>
      <c r="B30" s="197" t="s">
        <v>6</v>
      </c>
      <c r="C30" s="3" t="s">
        <v>3</v>
      </c>
      <c r="D30" s="3" t="s">
        <v>5</v>
      </c>
      <c r="E30" s="3">
        <v>3</v>
      </c>
      <c r="F30" s="279" t="s">
        <v>19</v>
      </c>
      <c r="G30" s="3" t="s">
        <v>9</v>
      </c>
      <c r="H30" s="194" t="s">
        <v>737</v>
      </c>
      <c r="I30" s="233" t="s">
        <v>1467</v>
      </c>
      <c r="J30" s="234" t="s">
        <v>738</v>
      </c>
      <c r="K30" s="369"/>
      <c r="L30" s="188" t="s">
        <v>1905</v>
      </c>
      <c r="M30" s="186" t="s">
        <v>599</v>
      </c>
      <c r="N30" s="235" t="s">
        <v>736</v>
      </c>
      <c r="O30" s="53" t="s">
        <v>581</v>
      </c>
      <c r="P30" s="140"/>
    </row>
    <row r="31" spans="1:16" ht="17">
      <c r="A31" s="3" t="s">
        <v>583</v>
      </c>
      <c r="B31" s="197" t="s">
        <v>6</v>
      </c>
      <c r="C31" s="3" t="s">
        <v>3</v>
      </c>
      <c r="D31" s="3" t="s">
        <v>5</v>
      </c>
      <c r="E31" s="3">
        <v>3</v>
      </c>
      <c r="F31" s="279" t="s">
        <v>19</v>
      </c>
      <c r="G31" s="3" t="s">
        <v>10</v>
      </c>
      <c r="H31" s="194" t="s">
        <v>739</v>
      </c>
      <c r="I31" s="233" t="s">
        <v>1468</v>
      </c>
      <c r="J31" s="234" t="s">
        <v>740</v>
      </c>
      <c r="K31" s="369" t="s">
        <v>2053</v>
      </c>
      <c r="L31" s="188" t="s">
        <v>1905</v>
      </c>
      <c r="M31" s="186" t="s">
        <v>599</v>
      </c>
      <c r="N31" s="235" t="s">
        <v>736</v>
      </c>
      <c r="O31" s="53" t="s">
        <v>581</v>
      </c>
      <c r="P31" s="140"/>
    </row>
    <row r="32" spans="1:16" ht="17">
      <c r="A32" s="3" t="s">
        <v>583</v>
      </c>
      <c r="B32" s="197" t="s">
        <v>6</v>
      </c>
      <c r="C32" s="3" t="s">
        <v>3</v>
      </c>
      <c r="D32" s="3" t="s">
        <v>5</v>
      </c>
      <c r="E32" s="3">
        <v>3</v>
      </c>
      <c r="F32" s="279" t="s">
        <v>20</v>
      </c>
      <c r="G32" s="3" t="s">
        <v>8</v>
      </c>
      <c r="H32" s="6">
        <v>12500096</v>
      </c>
      <c r="I32" s="73" t="s">
        <v>1469</v>
      </c>
      <c r="J32" s="6" t="s">
        <v>407</v>
      </c>
      <c r="K32" s="66" t="s">
        <v>408</v>
      </c>
      <c r="L32" s="6" t="s">
        <v>679</v>
      </c>
      <c r="M32" s="53" t="s">
        <v>308</v>
      </c>
      <c r="N32" s="54" t="s">
        <v>396</v>
      </c>
      <c r="O32" s="1" t="s">
        <v>582</v>
      </c>
      <c r="P32" s="140"/>
    </row>
    <row r="33" spans="1:16" ht="17">
      <c r="A33" s="3" t="s">
        <v>583</v>
      </c>
      <c r="B33" s="197" t="s">
        <v>6</v>
      </c>
      <c r="C33" s="3" t="s">
        <v>3</v>
      </c>
      <c r="D33" s="3" t="s">
        <v>5</v>
      </c>
      <c r="E33" s="3">
        <v>3</v>
      </c>
      <c r="F33" s="279" t="s">
        <v>20</v>
      </c>
      <c r="G33" s="3" t="s">
        <v>9</v>
      </c>
      <c r="H33" s="194" t="s">
        <v>741</v>
      </c>
      <c r="I33" s="233" t="s">
        <v>1470</v>
      </c>
      <c r="J33" s="236" t="s">
        <v>742</v>
      </c>
      <c r="K33" s="369" t="s">
        <v>2054</v>
      </c>
      <c r="L33" s="188" t="s">
        <v>1905</v>
      </c>
      <c r="M33" s="186" t="s">
        <v>599</v>
      </c>
      <c r="N33" s="237" t="s">
        <v>743</v>
      </c>
      <c r="O33" s="53" t="s">
        <v>581</v>
      </c>
      <c r="P33" s="140"/>
    </row>
    <row r="34" spans="1:16" ht="17">
      <c r="A34" s="3" t="s">
        <v>583</v>
      </c>
      <c r="B34" s="197" t="s">
        <v>6</v>
      </c>
      <c r="C34" s="3" t="s">
        <v>3</v>
      </c>
      <c r="D34" s="3" t="s">
        <v>5</v>
      </c>
      <c r="E34" s="3">
        <v>3</v>
      </c>
      <c r="F34" s="279" t="s">
        <v>20</v>
      </c>
      <c r="G34" s="3" t="s">
        <v>10</v>
      </c>
      <c r="H34" s="5" t="s">
        <v>2082</v>
      </c>
      <c r="I34" s="66" t="s">
        <v>2083</v>
      </c>
      <c r="J34" s="5" t="s">
        <v>2084</v>
      </c>
      <c r="K34" s="66" t="s">
        <v>2085</v>
      </c>
      <c r="L34" s="6" t="s">
        <v>679</v>
      </c>
      <c r="M34" s="53" t="s">
        <v>308</v>
      </c>
      <c r="N34" s="54" t="s">
        <v>396</v>
      </c>
      <c r="O34" s="1" t="s">
        <v>582</v>
      </c>
      <c r="P34" s="140"/>
    </row>
    <row r="35" spans="1:16" ht="17">
      <c r="A35" s="3" t="s">
        <v>583</v>
      </c>
      <c r="B35" s="197" t="s">
        <v>6</v>
      </c>
      <c r="C35" s="3" t="s">
        <v>3</v>
      </c>
      <c r="D35" s="3" t="s">
        <v>5</v>
      </c>
      <c r="E35" s="3">
        <v>3</v>
      </c>
      <c r="F35" s="279" t="s">
        <v>21</v>
      </c>
      <c r="G35" s="3" t="s">
        <v>8</v>
      </c>
      <c r="H35" s="186" t="s">
        <v>748</v>
      </c>
      <c r="I35" s="233" t="s">
        <v>1468</v>
      </c>
      <c r="J35" s="236" t="s">
        <v>749</v>
      </c>
      <c r="K35" s="369" t="s">
        <v>2055</v>
      </c>
      <c r="L35" s="188" t="s">
        <v>1905</v>
      </c>
      <c r="M35" s="186" t="s">
        <v>599</v>
      </c>
      <c r="N35" s="84" t="s">
        <v>580</v>
      </c>
      <c r="O35" s="53" t="s">
        <v>581</v>
      </c>
      <c r="P35" s="239"/>
    </row>
    <row r="36" spans="1:16" ht="17">
      <c r="A36" s="3" t="s">
        <v>583</v>
      </c>
      <c r="B36" s="197" t="s">
        <v>6</v>
      </c>
      <c r="C36" s="3" t="s">
        <v>3</v>
      </c>
      <c r="D36" s="3" t="s">
        <v>5</v>
      </c>
      <c r="E36" s="3">
        <v>3</v>
      </c>
      <c r="F36" s="279" t="s">
        <v>21</v>
      </c>
      <c r="G36" s="3" t="s">
        <v>9</v>
      </c>
      <c r="H36" s="186" t="s">
        <v>750</v>
      </c>
      <c r="I36" s="233" t="s">
        <v>1468</v>
      </c>
      <c r="J36" s="236" t="s">
        <v>751</v>
      </c>
      <c r="K36" s="369" t="s">
        <v>2056</v>
      </c>
      <c r="L36" s="188" t="s">
        <v>1905</v>
      </c>
      <c r="M36" s="186" t="s">
        <v>599</v>
      </c>
      <c r="N36" s="237" t="s">
        <v>743</v>
      </c>
      <c r="O36" s="53" t="s">
        <v>581</v>
      </c>
      <c r="P36" s="230"/>
    </row>
    <row r="37" spans="1:16" ht="17">
      <c r="A37" s="3" t="s">
        <v>583</v>
      </c>
      <c r="B37" s="197" t="s">
        <v>6</v>
      </c>
      <c r="C37" s="3" t="s">
        <v>3</v>
      </c>
      <c r="D37" s="3" t="s">
        <v>5</v>
      </c>
      <c r="E37" s="3">
        <v>3</v>
      </c>
      <c r="F37" s="279" t="s">
        <v>21</v>
      </c>
      <c r="G37" s="3" t="s">
        <v>10</v>
      </c>
      <c r="H37" s="186" t="s">
        <v>752</v>
      </c>
      <c r="I37" s="233" t="s">
        <v>1468</v>
      </c>
      <c r="J37" s="236" t="s">
        <v>753</v>
      </c>
      <c r="K37" s="369" t="s">
        <v>2057</v>
      </c>
      <c r="L37" s="188" t="s">
        <v>1905</v>
      </c>
      <c r="M37" s="186" t="s">
        <v>599</v>
      </c>
      <c r="N37" s="237" t="s">
        <v>743</v>
      </c>
      <c r="O37" s="53" t="s">
        <v>581</v>
      </c>
      <c r="P37" s="230"/>
    </row>
    <row r="38" spans="1:16" ht="17">
      <c r="A38" s="3" t="s">
        <v>583</v>
      </c>
      <c r="B38" s="197" t="s">
        <v>6</v>
      </c>
      <c r="C38" s="3" t="s">
        <v>3</v>
      </c>
      <c r="D38" s="3" t="s">
        <v>5</v>
      </c>
      <c r="E38" s="3">
        <v>3</v>
      </c>
      <c r="F38" s="280" t="s">
        <v>22</v>
      </c>
      <c r="G38" s="11" t="s">
        <v>8</v>
      </c>
      <c r="H38" s="186" t="s">
        <v>754</v>
      </c>
      <c r="I38" s="233" t="s">
        <v>1471</v>
      </c>
      <c r="J38" s="236" t="s">
        <v>755</v>
      </c>
      <c r="K38" s="369" t="s">
        <v>2058</v>
      </c>
      <c r="L38" s="188" t="s">
        <v>1905</v>
      </c>
      <c r="M38" s="186" t="s">
        <v>599</v>
      </c>
      <c r="N38" s="237" t="s">
        <v>743</v>
      </c>
      <c r="O38" s="53" t="s">
        <v>581</v>
      </c>
      <c r="P38" s="230"/>
    </row>
    <row r="39" spans="1:16" ht="17">
      <c r="A39" s="3" t="s">
        <v>583</v>
      </c>
      <c r="B39" s="197" t="s">
        <v>6</v>
      </c>
      <c r="C39" s="3" t="s">
        <v>3</v>
      </c>
      <c r="D39" s="3" t="s">
        <v>5</v>
      </c>
      <c r="E39" s="3">
        <v>3</v>
      </c>
      <c r="F39" s="280" t="s">
        <v>22</v>
      </c>
      <c r="G39" s="11" t="s">
        <v>9</v>
      </c>
      <c r="H39" s="186" t="s">
        <v>756</v>
      </c>
      <c r="I39" s="233" t="s">
        <v>1472</v>
      </c>
      <c r="J39" s="236" t="s">
        <v>757</v>
      </c>
      <c r="K39" s="369" t="s">
        <v>2059</v>
      </c>
      <c r="L39" s="188" t="s">
        <v>1905</v>
      </c>
      <c r="M39" s="186" t="s">
        <v>599</v>
      </c>
      <c r="N39" s="237" t="s">
        <v>743</v>
      </c>
      <c r="O39" s="53" t="s">
        <v>581</v>
      </c>
      <c r="P39" s="238"/>
    </row>
    <row r="40" spans="1:16" ht="17">
      <c r="A40" s="3" t="s">
        <v>583</v>
      </c>
      <c r="B40" s="197" t="s">
        <v>6</v>
      </c>
      <c r="C40" s="3" t="s">
        <v>3</v>
      </c>
      <c r="D40" s="3" t="s">
        <v>5</v>
      </c>
      <c r="E40" s="3">
        <v>3</v>
      </c>
      <c r="F40" s="280" t="s">
        <v>22</v>
      </c>
      <c r="G40" s="11" t="s">
        <v>10</v>
      </c>
      <c r="H40" s="186" t="s">
        <v>758</v>
      </c>
      <c r="I40" s="233" t="s">
        <v>1472</v>
      </c>
      <c r="J40" s="236" t="s">
        <v>759</v>
      </c>
      <c r="K40" s="369" t="s">
        <v>2060</v>
      </c>
      <c r="L40" s="188" t="s">
        <v>1905</v>
      </c>
      <c r="M40" s="186" t="s">
        <v>599</v>
      </c>
      <c r="N40" s="237" t="s">
        <v>743</v>
      </c>
      <c r="O40" s="53" t="s">
        <v>581</v>
      </c>
      <c r="P40" s="140"/>
    </row>
    <row r="41" spans="1:16" ht="17">
      <c r="A41" s="3" t="s">
        <v>583</v>
      </c>
      <c r="B41" s="197" t="s">
        <v>6</v>
      </c>
      <c r="C41" s="3" t="s">
        <v>3</v>
      </c>
      <c r="D41" s="3" t="s">
        <v>5</v>
      </c>
      <c r="E41" s="3">
        <v>3</v>
      </c>
      <c r="F41" s="280" t="s">
        <v>23</v>
      </c>
      <c r="G41" s="11" t="s">
        <v>8</v>
      </c>
      <c r="H41" s="5" t="s">
        <v>310</v>
      </c>
      <c r="I41" s="133" t="s">
        <v>760</v>
      </c>
      <c r="J41" s="5" t="s">
        <v>311</v>
      </c>
      <c r="K41" s="133" t="s">
        <v>560</v>
      </c>
      <c r="L41" s="6" t="s">
        <v>679</v>
      </c>
      <c r="M41" s="53" t="s">
        <v>308</v>
      </c>
      <c r="N41" s="54" t="s">
        <v>396</v>
      </c>
      <c r="O41" s="1" t="s">
        <v>582</v>
      </c>
      <c r="P41" s="140" t="s">
        <v>312</v>
      </c>
    </row>
    <row r="42" spans="1:16" ht="17">
      <c r="A42" s="3" t="s">
        <v>583</v>
      </c>
      <c r="B42" s="197" t="s">
        <v>6</v>
      </c>
      <c r="C42" s="3" t="s">
        <v>3</v>
      </c>
      <c r="D42" s="3" t="s">
        <v>5</v>
      </c>
      <c r="E42" s="3">
        <v>3</v>
      </c>
      <c r="F42" s="280" t="s">
        <v>23</v>
      </c>
      <c r="G42" s="11" t="s">
        <v>9</v>
      </c>
      <c r="H42" s="5" t="s">
        <v>761</v>
      </c>
      <c r="I42" s="66" t="s">
        <v>275</v>
      </c>
      <c r="J42" s="5" t="s">
        <v>762</v>
      </c>
      <c r="K42" s="66" t="s">
        <v>763</v>
      </c>
      <c r="L42" s="6" t="s">
        <v>679</v>
      </c>
      <c r="M42" s="53" t="s">
        <v>308</v>
      </c>
      <c r="N42" s="54" t="s">
        <v>396</v>
      </c>
      <c r="O42" s="1" t="s">
        <v>582</v>
      </c>
      <c r="P42" s="140" t="s">
        <v>764</v>
      </c>
    </row>
    <row r="43" spans="1:16" ht="17">
      <c r="A43" s="3" t="s">
        <v>583</v>
      </c>
      <c r="B43" s="197" t="s">
        <v>6</v>
      </c>
      <c r="C43" s="3" t="s">
        <v>3</v>
      </c>
      <c r="D43" s="3" t="s">
        <v>5</v>
      </c>
      <c r="E43" s="3">
        <v>3</v>
      </c>
      <c r="F43" s="280" t="s">
        <v>23</v>
      </c>
      <c r="G43" s="11" t="s">
        <v>10</v>
      </c>
      <c r="H43" s="5" t="s">
        <v>765</v>
      </c>
      <c r="I43" s="66" t="s">
        <v>260</v>
      </c>
      <c r="J43" s="5" t="s">
        <v>766</v>
      </c>
      <c r="K43" s="66" t="s">
        <v>1473</v>
      </c>
      <c r="L43" s="6" t="s">
        <v>679</v>
      </c>
      <c r="M43" s="53" t="s">
        <v>308</v>
      </c>
      <c r="N43" s="54" t="s">
        <v>396</v>
      </c>
      <c r="O43" s="1" t="s">
        <v>582</v>
      </c>
      <c r="P43" s="140" t="s">
        <v>767</v>
      </c>
    </row>
    <row r="44" spans="1:16" ht="17">
      <c r="A44" s="3" t="s">
        <v>583</v>
      </c>
      <c r="B44" s="197" t="s">
        <v>6</v>
      </c>
      <c r="C44" s="3" t="s">
        <v>3</v>
      </c>
      <c r="D44" s="3" t="s">
        <v>5</v>
      </c>
      <c r="E44" s="3">
        <v>3</v>
      </c>
      <c r="F44" s="280" t="s">
        <v>24</v>
      </c>
      <c r="G44" s="11" t="s">
        <v>8</v>
      </c>
      <c r="H44" s="186" t="s">
        <v>768</v>
      </c>
      <c r="I44" s="233" t="s">
        <v>1472</v>
      </c>
      <c r="J44" s="236" t="s">
        <v>769</v>
      </c>
      <c r="K44" s="369" t="s">
        <v>2061</v>
      </c>
      <c r="L44" s="188" t="s">
        <v>1905</v>
      </c>
      <c r="M44" s="186" t="s">
        <v>599</v>
      </c>
      <c r="N44" s="237" t="s">
        <v>743</v>
      </c>
      <c r="O44" s="53" t="s">
        <v>581</v>
      </c>
      <c r="P44" s="140"/>
    </row>
    <row r="45" spans="1:16" ht="17">
      <c r="A45" s="3" t="s">
        <v>583</v>
      </c>
      <c r="B45" s="197" t="s">
        <v>6</v>
      </c>
      <c r="C45" s="3" t="s">
        <v>3</v>
      </c>
      <c r="D45" s="3" t="s">
        <v>5</v>
      </c>
      <c r="E45" s="3">
        <v>3</v>
      </c>
      <c r="F45" s="280" t="s">
        <v>24</v>
      </c>
      <c r="G45" s="11" t="s">
        <v>9</v>
      </c>
      <c r="H45" s="186" t="s">
        <v>770</v>
      </c>
      <c r="I45" s="233" t="s">
        <v>1472</v>
      </c>
      <c r="J45" s="236" t="s">
        <v>771</v>
      </c>
      <c r="K45" s="369" t="s">
        <v>2062</v>
      </c>
      <c r="L45" s="188" t="s">
        <v>1905</v>
      </c>
      <c r="M45" s="186" t="s">
        <v>599</v>
      </c>
      <c r="N45" s="237" t="s">
        <v>743</v>
      </c>
      <c r="O45" s="53" t="s">
        <v>581</v>
      </c>
      <c r="P45" s="140"/>
    </row>
    <row r="46" spans="1:16" ht="17">
      <c r="A46" s="3" t="s">
        <v>583</v>
      </c>
      <c r="B46" s="197" t="s">
        <v>6</v>
      </c>
      <c r="C46" s="3" t="s">
        <v>3</v>
      </c>
      <c r="D46" s="3" t="s">
        <v>5</v>
      </c>
      <c r="E46" s="3">
        <v>3</v>
      </c>
      <c r="F46" s="280" t="s">
        <v>24</v>
      </c>
      <c r="G46" s="11" t="s">
        <v>10</v>
      </c>
      <c r="H46" s="186" t="s">
        <v>772</v>
      </c>
      <c r="I46" s="233" t="s">
        <v>1472</v>
      </c>
      <c r="J46" s="236" t="s">
        <v>773</v>
      </c>
      <c r="K46" s="369" t="s">
        <v>2063</v>
      </c>
      <c r="L46" s="188" t="s">
        <v>1905</v>
      </c>
      <c r="M46" s="186" t="s">
        <v>599</v>
      </c>
      <c r="N46" s="237" t="s">
        <v>743</v>
      </c>
      <c r="O46" s="53" t="s">
        <v>581</v>
      </c>
      <c r="P46" s="140"/>
    </row>
    <row r="47" spans="1:16" ht="17">
      <c r="A47" s="3" t="s">
        <v>583</v>
      </c>
      <c r="B47" s="197" t="s">
        <v>6</v>
      </c>
      <c r="C47" s="3" t="s">
        <v>3</v>
      </c>
      <c r="D47" s="3" t="s">
        <v>5</v>
      </c>
      <c r="E47" s="3">
        <v>3</v>
      </c>
      <c r="F47" s="279" t="s">
        <v>25</v>
      </c>
      <c r="G47" s="3" t="s">
        <v>8</v>
      </c>
      <c r="H47" s="5" t="s">
        <v>774</v>
      </c>
      <c r="I47" s="66" t="s">
        <v>470</v>
      </c>
      <c r="J47" s="5" t="s">
        <v>775</v>
      </c>
      <c r="K47" s="66" t="s">
        <v>776</v>
      </c>
      <c r="L47" s="6" t="s">
        <v>679</v>
      </c>
      <c r="M47" s="53" t="s">
        <v>308</v>
      </c>
      <c r="N47" s="54" t="s">
        <v>396</v>
      </c>
      <c r="O47" s="1" t="s">
        <v>582</v>
      </c>
      <c r="P47" s="140"/>
    </row>
    <row r="48" spans="1:16" ht="17">
      <c r="A48" s="3" t="s">
        <v>583</v>
      </c>
      <c r="B48" s="197" t="s">
        <v>6</v>
      </c>
      <c r="C48" s="3" t="s">
        <v>3</v>
      </c>
      <c r="D48" s="3" t="s">
        <v>5</v>
      </c>
      <c r="E48" s="3">
        <v>3</v>
      </c>
      <c r="F48" s="279" t="s">
        <v>25</v>
      </c>
      <c r="G48" s="3" t="s">
        <v>9</v>
      </c>
      <c r="H48" s="5" t="s">
        <v>409</v>
      </c>
      <c r="I48" s="66" t="s">
        <v>777</v>
      </c>
      <c r="J48" s="5" t="s">
        <v>410</v>
      </c>
      <c r="K48" s="66" t="s">
        <v>561</v>
      </c>
      <c r="L48" s="6" t="s">
        <v>679</v>
      </c>
      <c r="M48" s="53" t="s">
        <v>308</v>
      </c>
      <c r="N48" s="54" t="s">
        <v>396</v>
      </c>
      <c r="O48" s="1" t="s">
        <v>582</v>
      </c>
      <c r="P48" s="140"/>
    </row>
    <row r="49" spans="1:22" ht="17">
      <c r="A49" s="3" t="s">
        <v>583</v>
      </c>
      <c r="B49" s="197" t="s">
        <v>6</v>
      </c>
      <c r="C49" s="3" t="s">
        <v>3</v>
      </c>
      <c r="D49" s="3" t="s">
        <v>5</v>
      </c>
      <c r="E49" s="3">
        <v>3</v>
      </c>
      <c r="F49" s="279" t="s">
        <v>25</v>
      </c>
      <c r="G49" s="3" t="s">
        <v>10</v>
      </c>
      <c r="H49" s="5" t="s">
        <v>778</v>
      </c>
      <c r="I49" s="66" t="s">
        <v>470</v>
      </c>
      <c r="J49" s="5" t="s">
        <v>779</v>
      </c>
      <c r="K49" s="66" t="s">
        <v>1474</v>
      </c>
      <c r="L49" s="6" t="s">
        <v>679</v>
      </c>
      <c r="M49" s="79" t="s">
        <v>308</v>
      </c>
      <c r="N49" s="54" t="s">
        <v>396</v>
      </c>
      <c r="O49" s="1" t="s">
        <v>582</v>
      </c>
      <c r="P49" s="140" t="s">
        <v>780</v>
      </c>
    </row>
    <row r="50" spans="1:22" ht="17">
      <c r="A50" s="3" t="s">
        <v>583</v>
      </c>
      <c r="B50" s="197" t="s">
        <v>6</v>
      </c>
      <c r="C50" s="3" t="s">
        <v>3</v>
      </c>
      <c r="D50" s="3" t="s">
        <v>5</v>
      </c>
      <c r="E50" s="3">
        <v>3</v>
      </c>
      <c r="F50" s="279" t="s">
        <v>26</v>
      </c>
      <c r="G50" s="3" t="s">
        <v>8</v>
      </c>
      <c r="H50" s="5" t="s">
        <v>781</v>
      </c>
      <c r="I50" s="66" t="s">
        <v>899</v>
      </c>
      <c r="J50" s="5" t="s">
        <v>782</v>
      </c>
      <c r="K50" s="66" t="s">
        <v>1475</v>
      </c>
      <c r="L50" s="6" t="s">
        <v>679</v>
      </c>
      <c r="M50" s="79" t="s">
        <v>308</v>
      </c>
      <c r="N50" s="54" t="s">
        <v>396</v>
      </c>
      <c r="O50" s="1" t="s">
        <v>582</v>
      </c>
      <c r="P50" s="140" t="s">
        <v>783</v>
      </c>
    </row>
    <row r="51" spans="1:22" ht="17">
      <c r="A51" s="3" t="s">
        <v>583</v>
      </c>
      <c r="B51" s="197" t="s">
        <v>6</v>
      </c>
      <c r="C51" s="3" t="s">
        <v>3</v>
      </c>
      <c r="D51" s="3" t="s">
        <v>5</v>
      </c>
      <c r="E51" s="3">
        <v>3</v>
      </c>
      <c r="F51" s="279" t="s">
        <v>26</v>
      </c>
      <c r="G51" s="3" t="s">
        <v>9</v>
      </c>
      <c r="H51" s="5">
        <v>11370203</v>
      </c>
      <c r="I51" s="66" t="s">
        <v>1484</v>
      </c>
      <c r="J51" s="5" t="s">
        <v>315</v>
      </c>
      <c r="K51" s="81" t="s">
        <v>568</v>
      </c>
      <c r="L51" s="6" t="s">
        <v>679</v>
      </c>
      <c r="M51" s="79" t="s">
        <v>308</v>
      </c>
      <c r="N51" s="54" t="s">
        <v>396</v>
      </c>
      <c r="O51" s="1" t="s">
        <v>582</v>
      </c>
    </row>
    <row r="52" spans="1:22" ht="17">
      <c r="A52" s="3" t="s">
        <v>583</v>
      </c>
      <c r="B52" s="197" t="s">
        <v>6</v>
      </c>
      <c r="C52" s="3" t="s">
        <v>231</v>
      </c>
      <c r="D52" s="3" t="s">
        <v>5</v>
      </c>
      <c r="E52" s="3">
        <v>3</v>
      </c>
      <c r="F52" s="279" t="s">
        <v>26</v>
      </c>
      <c r="G52" s="3" t="s">
        <v>10</v>
      </c>
      <c r="H52" s="207" t="s">
        <v>787</v>
      </c>
      <c r="I52" s="147" t="s">
        <v>999</v>
      </c>
      <c r="J52" s="207" t="s">
        <v>788</v>
      </c>
      <c r="K52" s="147" t="s">
        <v>1987</v>
      </c>
      <c r="L52" s="6" t="s">
        <v>679</v>
      </c>
      <c r="M52" s="79" t="s">
        <v>308</v>
      </c>
      <c r="N52" s="54" t="s">
        <v>396</v>
      </c>
      <c r="O52" s="1" t="s">
        <v>582</v>
      </c>
      <c r="P52" s="371" t="s">
        <v>789</v>
      </c>
    </row>
    <row r="53" spans="1:22" ht="17">
      <c r="A53" s="3" t="s">
        <v>583</v>
      </c>
      <c r="B53" s="197" t="s">
        <v>6</v>
      </c>
      <c r="C53" s="3" t="s">
        <v>3</v>
      </c>
      <c r="D53" s="3" t="s">
        <v>5</v>
      </c>
      <c r="E53" s="3">
        <v>3</v>
      </c>
      <c r="F53" s="279" t="s">
        <v>27</v>
      </c>
      <c r="G53" s="3" t="s">
        <v>8</v>
      </c>
      <c r="H53" s="5" t="s">
        <v>790</v>
      </c>
      <c r="I53" s="66" t="s">
        <v>791</v>
      </c>
      <c r="J53" s="5" t="s">
        <v>792</v>
      </c>
      <c r="K53" s="68" t="s">
        <v>794</v>
      </c>
      <c r="L53" s="6" t="s">
        <v>679</v>
      </c>
      <c r="M53" s="79" t="s">
        <v>308</v>
      </c>
      <c r="N53" s="54" t="s">
        <v>396</v>
      </c>
      <c r="O53" s="1" t="s">
        <v>582</v>
      </c>
      <c r="P53" s="140" t="s">
        <v>793</v>
      </c>
    </row>
    <row r="54" spans="1:22" ht="17">
      <c r="A54" s="3" t="s">
        <v>583</v>
      </c>
      <c r="B54" s="197" t="s">
        <v>6</v>
      </c>
      <c r="C54" s="3" t="s">
        <v>3</v>
      </c>
      <c r="D54" s="3" t="s">
        <v>5</v>
      </c>
      <c r="E54" s="3">
        <v>3</v>
      </c>
      <c r="F54" s="279" t="s">
        <v>27</v>
      </c>
      <c r="G54" s="3" t="s">
        <v>9</v>
      </c>
      <c r="H54" s="5" t="s">
        <v>795</v>
      </c>
      <c r="I54" s="66" t="s">
        <v>796</v>
      </c>
      <c r="J54" s="5" t="s">
        <v>797</v>
      </c>
      <c r="K54" s="68" t="s">
        <v>798</v>
      </c>
      <c r="L54" s="6" t="s">
        <v>679</v>
      </c>
      <c r="M54" s="79" t="s">
        <v>308</v>
      </c>
      <c r="N54" s="54" t="s">
        <v>396</v>
      </c>
      <c r="O54" s="1" t="s">
        <v>582</v>
      </c>
      <c r="P54" s="140" t="s">
        <v>799</v>
      </c>
    </row>
    <row r="55" spans="1:22" ht="17">
      <c r="A55" s="3" t="s">
        <v>583</v>
      </c>
      <c r="B55" s="197" t="s">
        <v>6</v>
      </c>
      <c r="C55" s="3" t="s">
        <v>3</v>
      </c>
      <c r="D55" s="3" t="s">
        <v>5</v>
      </c>
      <c r="E55" s="3">
        <v>3</v>
      </c>
      <c r="F55" s="279" t="s">
        <v>27</v>
      </c>
      <c r="G55" s="3" t="s">
        <v>10</v>
      </c>
      <c r="H55" s="5" t="s">
        <v>800</v>
      </c>
      <c r="I55" s="66" t="s">
        <v>796</v>
      </c>
      <c r="J55" s="5" t="s">
        <v>801</v>
      </c>
      <c r="K55" s="68" t="s">
        <v>802</v>
      </c>
      <c r="L55" s="6" t="s">
        <v>679</v>
      </c>
      <c r="M55" s="79" t="s">
        <v>308</v>
      </c>
      <c r="N55" s="54" t="s">
        <v>396</v>
      </c>
      <c r="O55" s="1" t="s">
        <v>582</v>
      </c>
      <c r="P55" s="140" t="s">
        <v>803</v>
      </c>
    </row>
    <row r="56" spans="1:22" ht="17">
      <c r="A56" s="3" t="s">
        <v>583</v>
      </c>
      <c r="B56" s="197" t="s">
        <v>6</v>
      </c>
      <c r="C56" s="3" t="s">
        <v>3</v>
      </c>
      <c r="D56" s="3" t="s">
        <v>5</v>
      </c>
      <c r="E56" s="3">
        <v>3</v>
      </c>
      <c r="F56" s="279" t="s">
        <v>28</v>
      </c>
      <c r="G56" s="3" t="s">
        <v>8</v>
      </c>
      <c r="H56" s="5" t="s">
        <v>411</v>
      </c>
      <c r="I56" s="66" t="s">
        <v>368</v>
      </c>
      <c r="J56" s="5" t="s">
        <v>412</v>
      </c>
      <c r="K56" s="66" t="s">
        <v>413</v>
      </c>
      <c r="L56" s="6" t="s">
        <v>679</v>
      </c>
      <c r="M56" s="79" t="s">
        <v>308</v>
      </c>
      <c r="N56" s="54" t="s">
        <v>396</v>
      </c>
      <c r="O56" s="1" t="s">
        <v>582</v>
      </c>
      <c r="P56" s="140"/>
    </row>
    <row r="57" spans="1:22" ht="17">
      <c r="A57" s="3" t="s">
        <v>583</v>
      </c>
      <c r="B57" s="197" t="s">
        <v>6</v>
      </c>
      <c r="C57" s="3" t="s">
        <v>3</v>
      </c>
      <c r="D57" s="3" t="s">
        <v>5</v>
      </c>
      <c r="E57" s="3">
        <v>3</v>
      </c>
      <c r="F57" s="279" t="s">
        <v>28</v>
      </c>
      <c r="G57" s="3" t="s">
        <v>9</v>
      </c>
      <c r="H57" s="5" t="s">
        <v>343</v>
      </c>
      <c r="I57" s="66" t="s">
        <v>804</v>
      </c>
      <c r="J57" s="5" t="s">
        <v>344</v>
      </c>
      <c r="K57" s="81" t="s">
        <v>345</v>
      </c>
      <c r="L57" s="6" t="s">
        <v>679</v>
      </c>
      <c r="M57" s="79" t="s">
        <v>308</v>
      </c>
      <c r="N57" s="54" t="s">
        <v>396</v>
      </c>
      <c r="O57" s="1" t="s">
        <v>582</v>
      </c>
      <c r="P57" s="140"/>
    </row>
    <row r="58" spans="1:22" ht="17">
      <c r="A58" s="3" t="s">
        <v>583</v>
      </c>
      <c r="B58" s="197" t="s">
        <v>6</v>
      </c>
      <c r="C58" s="3" t="s">
        <v>3</v>
      </c>
      <c r="D58" s="3" t="s">
        <v>5</v>
      </c>
      <c r="E58" s="3">
        <v>3</v>
      </c>
      <c r="F58" s="279" t="s">
        <v>28</v>
      </c>
      <c r="G58" s="3" t="s">
        <v>10</v>
      </c>
      <c r="H58" s="5" t="s">
        <v>805</v>
      </c>
      <c r="I58" s="66" t="s">
        <v>1001</v>
      </c>
      <c r="J58" s="5" t="s">
        <v>806</v>
      </c>
      <c r="K58" s="66" t="s">
        <v>807</v>
      </c>
      <c r="L58" s="6" t="s">
        <v>679</v>
      </c>
      <c r="M58" s="79" t="s">
        <v>308</v>
      </c>
      <c r="N58" s="54" t="s">
        <v>396</v>
      </c>
      <c r="O58" s="1" t="s">
        <v>582</v>
      </c>
      <c r="P58" s="140" t="s">
        <v>808</v>
      </c>
    </row>
    <row r="59" spans="1:22" ht="17">
      <c r="A59" s="3" t="s">
        <v>583</v>
      </c>
      <c r="B59" s="197" t="s">
        <v>6</v>
      </c>
      <c r="C59" s="3" t="s">
        <v>3</v>
      </c>
      <c r="D59" s="3" t="s">
        <v>5</v>
      </c>
      <c r="E59" s="3">
        <v>3</v>
      </c>
      <c r="F59" s="279" t="s">
        <v>29</v>
      </c>
      <c r="G59" s="3" t="s">
        <v>8</v>
      </c>
      <c r="H59" s="5" t="s">
        <v>809</v>
      </c>
      <c r="I59" s="66" t="s">
        <v>796</v>
      </c>
      <c r="J59" s="5" t="s">
        <v>810</v>
      </c>
      <c r="K59" s="68" t="s">
        <v>811</v>
      </c>
      <c r="L59" s="6" t="s">
        <v>679</v>
      </c>
      <c r="M59" s="79" t="s">
        <v>308</v>
      </c>
      <c r="N59" s="54" t="s">
        <v>396</v>
      </c>
      <c r="O59" s="1" t="s">
        <v>582</v>
      </c>
      <c r="P59" s="140" t="s">
        <v>812</v>
      </c>
    </row>
    <row r="60" spans="1:22" ht="17">
      <c r="A60" s="3" t="s">
        <v>583</v>
      </c>
      <c r="B60" s="197" t="s">
        <v>6</v>
      </c>
      <c r="C60" s="3" t="s">
        <v>3</v>
      </c>
      <c r="D60" s="3" t="s">
        <v>5</v>
      </c>
      <c r="E60" s="3">
        <v>3</v>
      </c>
      <c r="F60" s="280" t="s">
        <v>29</v>
      </c>
      <c r="G60" s="11" t="s">
        <v>9</v>
      </c>
      <c r="H60" s="5" t="s">
        <v>813</v>
      </c>
      <c r="I60" s="66" t="s">
        <v>258</v>
      </c>
      <c r="J60" s="5" t="s">
        <v>814</v>
      </c>
      <c r="K60" s="68" t="s">
        <v>815</v>
      </c>
      <c r="L60" s="6" t="s">
        <v>679</v>
      </c>
      <c r="M60" s="79" t="s">
        <v>308</v>
      </c>
      <c r="N60" s="54" t="s">
        <v>396</v>
      </c>
      <c r="O60" s="1" t="s">
        <v>582</v>
      </c>
      <c r="P60" s="140"/>
    </row>
    <row r="61" spans="1:22" ht="17">
      <c r="A61" s="3" t="s">
        <v>583</v>
      </c>
      <c r="B61" s="197" t="s">
        <v>6</v>
      </c>
      <c r="C61" s="3" t="s">
        <v>3</v>
      </c>
      <c r="D61" s="3" t="s">
        <v>5</v>
      </c>
      <c r="E61" s="3">
        <v>3</v>
      </c>
      <c r="F61" s="280" t="s">
        <v>29</v>
      </c>
      <c r="G61" s="11" t="s">
        <v>10</v>
      </c>
      <c r="H61" s="5" t="s">
        <v>816</v>
      </c>
      <c r="I61" s="66" t="s">
        <v>258</v>
      </c>
      <c r="J61" s="5" t="s">
        <v>817</v>
      </c>
      <c r="K61" s="68" t="s">
        <v>818</v>
      </c>
      <c r="L61" s="6" t="s">
        <v>679</v>
      </c>
      <c r="M61" s="79" t="s">
        <v>308</v>
      </c>
      <c r="N61" s="54" t="s">
        <v>396</v>
      </c>
      <c r="O61" s="1" t="s">
        <v>582</v>
      </c>
      <c r="P61" s="140"/>
      <c r="R61" s="74"/>
      <c r="S61" s="90"/>
      <c r="T61" s="74"/>
      <c r="U61" s="91"/>
      <c r="V61" s="90"/>
    </row>
    <row r="62" spans="1:22" ht="17">
      <c r="A62" s="3" t="s">
        <v>583</v>
      </c>
      <c r="B62" s="197" t="s">
        <v>6</v>
      </c>
      <c r="C62" s="3" t="s">
        <v>3</v>
      </c>
      <c r="D62" s="3" t="s">
        <v>5</v>
      </c>
      <c r="E62" s="3">
        <v>3</v>
      </c>
      <c r="F62" s="280" t="s">
        <v>30</v>
      </c>
      <c r="G62" s="11" t="s">
        <v>8</v>
      </c>
      <c r="H62" s="6">
        <v>12440133</v>
      </c>
      <c r="I62" s="73" t="s">
        <v>819</v>
      </c>
      <c r="J62" s="6" t="s">
        <v>414</v>
      </c>
      <c r="K62" s="66" t="s">
        <v>415</v>
      </c>
      <c r="L62" s="6" t="s">
        <v>679</v>
      </c>
      <c r="M62" s="79" t="s">
        <v>308</v>
      </c>
      <c r="N62" s="54" t="s">
        <v>396</v>
      </c>
      <c r="O62" s="1" t="s">
        <v>582</v>
      </c>
      <c r="P62" s="53"/>
    </row>
    <row r="63" spans="1:22" ht="17">
      <c r="A63" s="3" t="s">
        <v>583</v>
      </c>
      <c r="B63" s="197" t="s">
        <v>6</v>
      </c>
      <c r="C63" s="3" t="s">
        <v>3</v>
      </c>
      <c r="D63" s="3" t="s">
        <v>5</v>
      </c>
      <c r="E63" s="3">
        <v>3</v>
      </c>
      <c r="F63" s="280" t="s">
        <v>30</v>
      </c>
      <c r="G63" s="11" t="s">
        <v>9</v>
      </c>
      <c r="H63" s="69" t="s">
        <v>820</v>
      </c>
      <c r="I63" s="66" t="s">
        <v>821</v>
      </c>
      <c r="J63" s="69" t="s">
        <v>822</v>
      </c>
      <c r="K63" s="5" t="s">
        <v>823</v>
      </c>
      <c r="L63" s="6" t="s">
        <v>679</v>
      </c>
      <c r="M63" s="79" t="s">
        <v>308</v>
      </c>
      <c r="N63" s="54" t="s">
        <v>396</v>
      </c>
      <c r="O63" s="1" t="s">
        <v>582</v>
      </c>
      <c r="P63" s="230"/>
    </row>
    <row r="64" spans="1:22" ht="18" customHeight="1">
      <c r="A64" s="3" t="s">
        <v>583</v>
      </c>
      <c r="B64" s="197" t="s">
        <v>6</v>
      </c>
      <c r="C64" s="3" t="s">
        <v>3</v>
      </c>
      <c r="D64" s="3" t="s">
        <v>5</v>
      </c>
      <c r="E64" s="3">
        <v>3</v>
      </c>
      <c r="F64" s="280" t="s">
        <v>30</v>
      </c>
      <c r="G64" s="11" t="s">
        <v>10</v>
      </c>
      <c r="H64" s="5" t="s">
        <v>1476</v>
      </c>
      <c r="I64" s="66" t="s">
        <v>824</v>
      </c>
      <c r="J64" s="5" t="s">
        <v>319</v>
      </c>
      <c r="K64" s="81" t="s">
        <v>320</v>
      </c>
      <c r="L64" s="6" t="s">
        <v>679</v>
      </c>
      <c r="M64" s="79" t="s">
        <v>308</v>
      </c>
      <c r="N64" s="54" t="s">
        <v>396</v>
      </c>
      <c r="O64" s="1" t="s">
        <v>582</v>
      </c>
      <c r="P64" s="53"/>
    </row>
    <row r="65" spans="1:16" ht="17">
      <c r="A65" s="3" t="s">
        <v>583</v>
      </c>
      <c r="B65" s="197" t="s">
        <v>6</v>
      </c>
      <c r="C65" s="3" t="s">
        <v>3</v>
      </c>
      <c r="D65" s="3" t="s">
        <v>5</v>
      </c>
      <c r="E65" s="3">
        <v>3</v>
      </c>
      <c r="F65" s="280" t="s">
        <v>31</v>
      </c>
      <c r="G65" s="11" t="s">
        <v>8</v>
      </c>
      <c r="H65" s="183">
        <v>13440273</v>
      </c>
      <c r="I65" s="73" t="s">
        <v>422</v>
      </c>
      <c r="J65" s="183" t="s">
        <v>675</v>
      </c>
      <c r="K65" s="66" t="s">
        <v>676</v>
      </c>
      <c r="L65" s="6" t="s">
        <v>679</v>
      </c>
      <c r="M65" s="79" t="s">
        <v>308</v>
      </c>
      <c r="N65" s="54" t="s">
        <v>396</v>
      </c>
      <c r="O65" s="1" t="s">
        <v>582</v>
      </c>
      <c r="P65" s="53"/>
    </row>
    <row r="66" spans="1:16" ht="17">
      <c r="A66" s="3" t="s">
        <v>583</v>
      </c>
      <c r="B66" s="197" t="s">
        <v>6</v>
      </c>
      <c r="C66" s="3" t="s">
        <v>3</v>
      </c>
      <c r="D66" s="3" t="s">
        <v>5</v>
      </c>
      <c r="E66" s="3">
        <v>3</v>
      </c>
      <c r="F66" s="280" t="s">
        <v>31</v>
      </c>
      <c r="G66" s="11" t="s">
        <v>9</v>
      </c>
      <c r="H66" s="115" t="s">
        <v>825</v>
      </c>
      <c r="I66" s="52" t="s">
        <v>1477</v>
      </c>
      <c r="J66" s="6" t="s">
        <v>826</v>
      </c>
      <c r="K66" s="66" t="s">
        <v>827</v>
      </c>
      <c r="L66" s="6" t="s">
        <v>679</v>
      </c>
      <c r="M66" s="79" t="s">
        <v>308</v>
      </c>
      <c r="N66" s="54" t="s">
        <v>396</v>
      </c>
      <c r="O66" s="1" t="s">
        <v>582</v>
      </c>
      <c r="P66" s="346" t="s">
        <v>1847</v>
      </c>
    </row>
    <row r="67" spans="1:16" ht="17">
      <c r="A67" s="3" t="s">
        <v>583</v>
      </c>
      <c r="B67" s="197" t="s">
        <v>6</v>
      </c>
      <c r="C67" s="3" t="s">
        <v>3</v>
      </c>
      <c r="D67" s="3" t="s">
        <v>5</v>
      </c>
      <c r="E67" s="3">
        <v>3</v>
      </c>
      <c r="F67" s="280" t="s">
        <v>31</v>
      </c>
      <c r="G67" s="11" t="s">
        <v>10</v>
      </c>
      <c r="H67" s="5" t="s">
        <v>828</v>
      </c>
      <c r="I67" s="66" t="s">
        <v>282</v>
      </c>
      <c r="J67" s="5" t="s">
        <v>829</v>
      </c>
      <c r="K67" s="68" t="s">
        <v>830</v>
      </c>
      <c r="L67" s="6" t="s">
        <v>679</v>
      </c>
      <c r="M67" s="79" t="s">
        <v>308</v>
      </c>
      <c r="N67" s="54" t="s">
        <v>396</v>
      </c>
      <c r="O67" s="1" t="s">
        <v>582</v>
      </c>
      <c r="P67" s="140"/>
    </row>
    <row r="68" spans="1:16" ht="17">
      <c r="A68" s="3" t="s">
        <v>583</v>
      </c>
      <c r="B68" s="197" t="s">
        <v>6</v>
      </c>
      <c r="C68" s="3" t="s">
        <v>3</v>
      </c>
      <c r="D68" s="3" t="s">
        <v>5</v>
      </c>
      <c r="E68" s="3">
        <v>3</v>
      </c>
      <c r="F68" s="280" t="s">
        <v>32</v>
      </c>
      <c r="G68" s="11" t="s">
        <v>8</v>
      </c>
      <c r="H68" s="5" t="s">
        <v>831</v>
      </c>
      <c r="I68" s="66" t="s">
        <v>271</v>
      </c>
      <c r="J68" s="5" t="s">
        <v>832</v>
      </c>
      <c r="K68" s="68" t="s">
        <v>833</v>
      </c>
      <c r="L68" s="6" t="s">
        <v>679</v>
      </c>
      <c r="M68" s="79" t="s">
        <v>308</v>
      </c>
      <c r="N68" s="54" t="s">
        <v>396</v>
      </c>
      <c r="O68" s="1" t="s">
        <v>582</v>
      </c>
      <c r="P68" s="140" t="s">
        <v>834</v>
      </c>
    </row>
    <row r="69" spans="1:16" ht="17">
      <c r="A69" s="3" t="s">
        <v>583</v>
      </c>
      <c r="B69" s="197" t="s">
        <v>6</v>
      </c>
      <c r="C69" s="3" t="s">
        <v>3</v>
      </c>
      <c r="D69" s="3" t="s">
        <v>5</v>
      </c>
      <c r="E69" s="3">
        <v>3</v>
      </c>
      <c r="F69" s="280" t="s">
        <v>32</v>
      </c>
      <c r="G69" s="11" t="s">
        <v>9</v>
      </c>
      <c r="H69" s="5" t="s">
        <v>835</v>
      </c>
      <c r="I69" s="66" t="s">
        <v>282</v>
      </c>
      <c r="J69" s="5" t="s">
        <v>836</v>
      </c>
      <c r="K69" s="68" t="s">
        <v>837</v>
      </c>
      <c r="L69" s="6" t="s">
        <v>679</v>
      </c>
      <c r="M69" s="79" t="s">
        <v>308</v>
      </c>
      <c r="N69" s="54" t="s">
        <v>396</v>
      </c>
      <c r="O69" s="1" t="s">
        <v>582</v>
      </c>
      <c r="P69" s="140"/>
    </row>
    <row r="70" spans="1:16" ht="17">
      <c r="A70" s="3" t="s">
        <v>583</v>
      </c>
      <c r="B70" s="197" t="s">
        <v>6</v>
      </c>
      <c r="C70" s="3" t="s">
        <v>3</v>
      </c>
      <c r="D70" s="3" t="s">
        <v>5</v>
      </c>
      <c r="E70" s="3">
        <v>3</v>
      </c>
      <c r="F70" s="280" t="s">
        <v>32</v>
      </c>
      <c r="G70" s="11" t="s">
        <v>10</v>
      </c>
      <c r="H70" s="5" t="s">
        <v>838</v>
      </c>
      <c r="I70" s="66" t="s">
        <v>272</v>
      </c>
      <c r="J70" s="5" t="s">
        <v>839</v>
      </c>
      <c r="K70" s="68" t="s">
        <v>840</v>
      </c>
      <c r="L70" s="6" t="s">
        <v>679</v>
      </c>
      <c r="M70" s="79" t="s">
        <v>308</v>
      </c>
      <c r="N70" s="54" t="s">
        <v>396</v>
      </c>
      <c r="O70" s="1" t="s">
        <v>582</v>
      </c>
      <c r="P70" s="140"/>
    </row>
    <row r="71" spans="1:16" ht="17">
      <c r="A71" s="3" t="s">
        <v>583</v>
      </c>
      <c r="B71" s="197" t="s">
        <v>6</v>
      </c>
      <c r="C71" s="3" t="s">
        <v>3</v>
      </c>
      <c r="D71" s="3" t="s">
        <v>5</v>
      </c>
      <c r="E71" s="3">
        <v>3</v>
      </c>
      <c r="F71" s="280" t="s">
        <v>33</v>
      </c>
      <c r="G71" s="11" t="s">
        <v>8</v>
      </c>
      <c r="H71" s="6">
        <v>14840534</v>
      </c>
      <c r="I71" s="84" t="s">
        <v>1478</v>
      </c>
      <c r="J71" s="6" t="s">
        <v>1479</v>
      </c>
      <c r="K71" s="67" t="s">
        <v>1480</v>
      </c>
      <c r="L71" s="5" t="s">
        <v>679</v>
      </c>
      <c r="M71" s="79" t="s">
        <v>308</v>
      </c>
      <c r="N71" s="54" t="s">
        <v>396</v>
      </c>
      <c r="O71" s="1" t="s">
        <v>582</v>
      </c>
      <c r="P71" s="140"/>
    </row>
    <row r="72" spans="1:16" ht="17">
      <c r="A72" s="3" t="s">
        <v>583</v>
      </c>
      <c r="B72" s="197" t="s">
        <v>6</v>
      </c>
      <c r="C72" s="3" t="s">
        <v>3</v>
      </c>
      <c r="D72" s="3" t="s">
        <v>5</v>
      </c>
      <c r="E72" s="3">
        <v>3</v>
      </c>
      <c r="F72" s="280" t="s">
        <v>33</v>
      </c>
      <c r="G72" s="11" t="s">
        <v>9</v>
      </c>
      <c r="H72" s="5" t="s">
        <v>841</v>
      </c>
      <c r="I72" s="66" t="s">
        <v>1005</v>
      </c>
      <c r="J72" s="5" t="s">
        <v>842</v>
      </c>
      <c r="K72" s="66" t="s">
        <v>843</v>
      </c>
      <c r="L72" s="5" t="s">
        <v>679</v>
      </c>
      <c r="M72" s="79" t="s">
        <v>308</v>
      </c>
      <c r="N72" s="54" t="s">
        <v>396</v>
      </c>
      <c r="O72" s="1" t="s">
        <v>582</v>
      </c>
      <c r="P72" s="140" t="s">
        <v>844</v>
      </c>
    </row>
    <row r="73" spans="1:16" ht="17">
      <c r="A73" s="3" t="s">
        <v>583</v>
      </c>
      <c r="B73" s="197" t="s">
        <v>6</v>
      </c>
      <c r="C73" s="3" t="s">
        <v>3</v>
      </c>
      <c r="D73" s="3" t="s">
        <v>5</v>
      </c>
      <c r="E73" s="3">
        <v>3</v>
      </c>
      <c r="F73" s="280" t="s">
        <v>33</v>
      </c>
      <c r="G73" s="11" t="s">
        <v>10</v>
      </c>
      <c r="H73" s="115" t="s">
        <v>417</v>
      </c>
      <c r="I73" s="59" t="s">
        <v>1481</v>
      </c>
      <c r="J73" s="60" t="s">
        <v>1482</v>
      </c>
      <c r="K73" s="81" t="s">
        <v>418</v>
      </c>
      <c r="L73" s="5" t="s">
        <v>679</v>
      </c>
      <c r="M73" s="79" t="s">
        <v>308</v>
      </c>
      <c r="N73" s="54" t="s">
        <v>396</v>
      </c>
      <c r="O73" s="1" t="s">
        <v>582</v>
      </c>
      <c r="P73" s="140"/>
    </row>
    <row r="74" spans="1:16" ht="17">
      <c r="A74" s="3" t="s">
        <v>583</v>
      </c>
      <c r="B74" s="197" t="s">
        <v>6</v>
      </c>
      <c r="C74" s="3" t="s">
        <v>3</v>
      </c>
      <c r="D74" s="3" t="s">
        <v>5</v>
      </c>
      <c r="E74" s="3">
        <v>3</v>
      </c>
      <c r="F74" s="280" t="s">
        <v>34</v>
      </c>
      <c r="G74" s="11" t="s">
        <v>8</v>
      </c>
      <c r="H74" s="5" t="s">
        <v>845</v>
      </c>
      <c r="I74" s="66" t="s">
        <v>1483</v>
      </c>
      <c r="J74" s="5" t="s">
        <v>846</v>
      </c>
      <c r="K74" s="66" t="s">
        <v>847</v>
      </c>
      <c r="L74" s="5" t="s">
        <v>679</v>
      </c>
      <c r="M74" s="79" t="s">
        <v>308</v>
      </c>
      <c r="N74" s="54" t="s">
        <v>396</v>
      </c>
      <c r="O74" s="1" t="s">
        <v>582</v>
      </c>
      <c r="P74" s="140"/>
    </row>
    <row r="75" spans="1:16" ht="17">
      <c r="A75" s="3" t="s">
        <v>583</v>
      </c>
      <c r="B75" s="197" t="s">
        <v>6</v>
      </c>
      <c r="C75" s="3" t="s">
        <v>3</v>
      </c>
      <c r="D75" s="3" t="s">
        <v>5</v>
      </c>
      <c r="E75" s="3">
        <v>3</v>
      </c>
      <c r="F75" s="280" t="s">
        <v>34</v>
      </c>
      <c r="G75" s="11" t="s">
        <v>9</v>
      </c>
      <c r="H75" s="5" t="s">
        <v>784</v>
      </c>
      <c r="I75" s="66" t="s">
        <v>999</v>
      </c>
      <c r="J75" s="5" t="s">
        <v>785</v>
      </c>
      <c r="K75" s="66" t="s">
        <v>1917</v>
      </c>
      <c r="L75" s="5" t="s">
        <v>679</v>
      </c>
      <c r="M75" s="79" t="s">
        <v>308</v>
      </c>
      <c r="N75" s="54" t="s">
        <v>396</v>
      </c>
      <c r="O75" s="1" t="s">
        <v>582</v>
      </c>
      <c r="P75" s="140" t="s">
        <v>786</v>
      </c>
    </row>
    <row r="76" spans="1:16" ht="17">
      <c r="A76" s="3" t="s">
        <v>583</v>
      </c>
      <c r="B76" s="197" t="s">
        <v>6</v>
      </c>
      <c r="C76" s="3" t="s">
        <v>3</v>
      </c>
      <c r="D76" s="3" t="s">
        <v>5</v>
      </c>
      <c r="E76" s="3">
        <v>3</v>
      </c>
      <c r="F76" s="280" t="s">
        <v>34</v>
      </c>
      <c r="G76" s="11" t="s">
        <v>10</v>
      </c>
      <c r="H76" s="5" t="s">
        <v>848</v>
      </c>
      <c r="I76" s="66" t="s">
        <v>1483</v>
      </c>
      <c r="J76" s="5" t="s">
        <v>849</v>
      </c>
      <c r="K76" s="66" t="s">
        <v>850</v>
      </c>
      <c r="L76" s="5" t="s">
        <v>679</v>
      </c>
      <c r="M76" s="79" t="s">
        <v>308</v>
      </c>
      <c r="N76" s="54" t="s">
        <v>396</v>
      </c>
      <c r="O76" s="1" t="s">
        <v>582</v>
      </c>
      <c r="P76" s="140" t="s">
        <v>1918</v>
      </c>
    </row>
    <row r="77" spans="1:16" ht="17">
      <c r="A77" s="3" t="s">
        <v>583</v>
      </c>
      <c r="B77" s="197" t="s">
        <v>6</v>
      </c>
      <c r="C77" s="3" t="s">
        <v>3</v>
      </c>
      <c r="D77" s="3" t="s">
        <v>5</v>
      </c>
      <c r="E77" s="3">
        <v>3</v>
      </c>
      <c r="F77" s="280" t="s">
        <v>35</v>
      </c>
      <c r="G77" s="11" t="s">
        <v>8</v>
      </c>
      <c r="H77" s="5" t="s">
        <v>851</v>
      </c>
      <c r="I77" s="66" t="s">
        <v>290</v>
      </c>
      <c r="J77" s="5" t="s">
        <v>852</v>
      </c>
      <c r="K77" s="68" t="s">
        <v>853</v>
      </c>
      <c r="L77" s="5" t="s">
        <v>679</v>
      </c>
      <c r="M77" s="79" t="s">
        <v>308</v>
      </c>
      <c r="N77" s="54" t="s">
        <v>396</v>
      </c>
      <c r="O77" s="1" t="s">
        <v>582</v>
      </c>
      <c r="P77" s="140"/>
    </row>
    <row r="78" spans="1:16" ht="17">
      <c r="A78" s="3" t="s">
        <v>583</v>
      </c>
      <c r="B78" s="197" t="s">
        <v>6</v>
      </c>
      <c r="C78" s="3" t="s">
        <v>3</v>
      </c>
      <c r="D78" s="3" t="s">
        <v>5</v>
      </c>
      <c r="E78" s="3">
        <v>3</v>
      </c>
      <c r="F78" s="280" t="s">
        <v>35</v>
      </c>
      <c r="G78" s="11" t="s">
        <v>9</v>
      </c>
      <c r="H78" s="5" t="s">
        <v>854</v>
      </c>
      <c r="I78" s="66" t="s">
        <v>290</v>
      </c>
      <c r="J78" s="5" t="s">
        <v>855</v>
      </c>
      <c r="K78" s="68" t="s">
        <v>1919</v>
      </c>
      <c r="L78" s="5" t="s">
        <v>679</v>
      </c>
      <c r="M78" s="79" t="s">
        <v>308</v>
      </c>
      <c r="N78" s="54" t="s">
        <v>396</v>
      </c>
      <c r="O78" s="1" t="s">
        <v>582</v>
      </c>
      <c r="P78" s="140" t="s">
        <v>856</v>
      </c>
    </row>
    <row r="79" spans="1:16" ht="17">
      <c r="A79" s="3" t="s">
        <v>583</v>
      </c>
      <c r="B79" s="197" t="s">
        <v>6</v>
      </c>
      <c r="C79" s="3" t="s">
        <v>3</v>
      </c>
      <c r="D79" s="3" t="s">
        <v>5</v>
      </c>
      <c r="E79" s="3">
        <v>3</v>
      </c>
      <c r="F79" s="280" t="s">
        <v>35</v>
      </c>
      <c r="G79" s="11" t="s">
        <v>10</v>
      </c>
      <c r="H79" s="5" t="s">
        <v>857</v>
      </c>
      <c r="I79" s="66" t="s">
        <v>263</v>
      </c>
      <c r="J79" s="5" t="s">
        <v>858</v>
      </c>
      <c r="K79" s="68" t="s">
        <v>1920</v>
      </c>
      <c r="L79" s="5" t="s">
        <v>679</v>
      </c>
      <c r="M79" s="79" t="s">
        <v>308</v>
      </c>
      <c r="N79" s="54" t="s">
        <v>396</v>
      </c>
      <c r="O79" s="1" t="s">
        <v>582</v>
      </c>
      <c r="P79" s="140"/>
    </row>
    <row r="80" spans="1:16" ht="17">
      <c r="A80" s="3" t="s">
        <v>583</v>
      </c>
      <c r="B80" s="197" t="s">
        <v>6</v>
      </c>
      <c r="C80" s="3" t="s">
        <v>3</v>
      </c>
      <c r="D80" s="3" t="s">
        <v>5</v>
      </c>
      <c r="E80" s="3">
        <v>3</v>
      </c>
      <c r="F80" s="280" t="s">
        <v>36</v>
      </c>
      <c r="G80" s="11" t="s">
        <v>8</v>
      </c>
      <c r="H80" s="6">
        <v>13640161</v>
      </c>
      <c r="I80" s="84" t="s">
        <v>859</v>
      </c>
      <c r="J80" s="6" t="s">
        <v>572</v>
      </c>
      <c r="K80" s="69" t="s">
        <v>573</v>
      </c>
      <c r="L80" s="6" t="s">
        <v>679</v>
      </c>
      <c r="M80" s="53" t="s">
        <v>308</v>
      </c>
      <c r="N80" s="54" t="s">
        <v>396</v>
      </c>
      <c r="O80" s="1" t="s">
        <v>582</v>
      </c>
      <c r="P80" s="140"/>
    </row>
    <row r="81" spans="1:16" ht="17">
      <c r="A81" s="3" t="s">
        <v>583</v>
      </c>
      <c r="B81" s="197" t="s">
        <v>6</v>
      </c>
      <c r="C81" s="3" t="s">
        <v>3</v>
      </c>
      <c r="D81" s="3" t="s">
        <v>5</v>
      </c>
      <c r="E81" s="3">
        <v>3</v>
      </c>
      <c r="F81" s="280" t="s">
        <v>36</v>
      </c>
      <c r="G81" s="11" t="s">
        <v>9</v>
      </c>
      <c r="H81" s="5" t="s">
        <v>860</v>
      </c>
      <c r="I81" s="66" t="s">
        <v>1014</v>
      </c>
      <c r="J81" s="5" t="s">
        <v>861</v>
      </c>
      <c r="K81" s="66" t="s">
        <v>862</v>
      </c>
      <c r="L81" s="6" t="s">
        <v>679</v>
      </c>
      <c r="M81" s="79" t="s">
        <v>308</v>
      </c>
      <c r="N81" s="54" t="s">
        <v>396</v>
      </c>
      <c r="O81" s="1" t="s">
        <v>582</v>
      </c>
      <c r="P81" s="140" t="s">
        <v>863</v>
      </c>
    </row>
    <row r="82" spans="1:16" ht="17">
      <c r="A82" s="3" t="s">
        <v>583</v>
      </c>
      <c r="B82" s="197" t="s">
        <v>6</v>
      </c>
      <c r="C82" s="3" t="s">
        <v>3</v>
      </c>
      <c r="D82" s="3" t="s">
        <v>5</v>
      </c>
      <c r="E82" s="3">
        <v>3</v>
      </c>
      <c r="F82" s="280" t="s">
        <v>36</v>
      </c>
      <c r="G82" s="11" t="s">
        <v>10</v>
      </c>
      <c r="H82" s="5" t="s">
        <v>864</v>
      </c>
      <c r="I82" s="66" t="s">
        <v>1005</v>
      </c>
      <c r="J82" s="5" t="s">
        <v>865</v>
      </c>
      <c r="K82" s="66" t="s">
        <v>866</v>
      </c>
      <c r="L82" s="6" t="s">
        <v>679</v>
      </c>
      <c r="M82" s="79" t="s">
        <v>308</v>
      </c>
      <c r="N82" s="54" t="s">
        <v>396</v>
      </c>
      <c r="O82" s="1" t="s">
        <v>582</v>
      </c>
      <c r="P82" s="140" t="s">
        <v>867</v>
      </c>
    </row>
    <row r="83" spans="1:16" ht="17">
      <c r="A83" s="3" t="s">
        <v>583</v>
      </c>
      <c r="B83" s="197" t="s">
        <v>6</v>
      </c>
      <c r="C83" s="3" t="s">
        <v>3</v>
      </c>
      <c r="D83" s="3" t="s">
        <v>5</v>
      </c>
      <c r="E83" s="3">
        <v>3</v>
      </c>
      <c r="F83" s="280" t="s">
        <v>37</v>
      </c>
      <c r="G83" s="11" t="s">
        <v>8</v>
      </c>
      <c r="H83" s="5" t="s">
        <v>269</v>
      </c>
      <c r="I83" s="66" t="s">
        <v>868</v>
      </c>
      <c r="J83" s="5" t="s">
        <v>254</v>
      </c>
      <c r="K83" s="81" t="s">
        <v>300</v>
      </c>
      <c r="L83" s="6" t="s">
        <v>679</v>
      </c>
      <c r="M83" s="53" t="s">
        <v>308</v>
      </c>
      <c r="N83" s="54" t="s">
        <v>396</v>
      </c>
      <c r="O83" s="1" t="s">
        <v>582</v>
      </c>
      <c r="P83" s="140"/>
    </row>
    <row r="84" spans="1:16" ht="17">
      <c r="A84" s="3" t="s">
        <v>583</v>
      </c>
      <c r="B84" s="197" t="s">
        <v>6</v>
      </c>
      <c r="C84" s="3" t="s">
        <v>3</v>
      </c>
      <c r="D84" s="3" t="s">
        <v>5</v>
      </c>
      <c r="E84" s="3">
        <v>3</v>
      </c>
      <c r="F84" s="280" t="s">
        <v>37</v>
      </c>
      <c r="G84" s="11" t="s">
        <v>9</v>
      </c>
      <c r="H84" s="5" t="s">
        <v>869</v>
      </c>
      <c r="I84" s="66" t="s">
        <v>1014</v>
      </c>
      <c r="J84" s="5" t="s">
        <v>870</v>
      </c>
      <c r="K84" s="66" t="s">
        <v>871</v>
      </c>
      <c r="L84" s="6" t="s">
        <v>679</v>
      </c>
      <c r="M84" s="79" t="s">
        <v>308</v>
      </c>
      <c r="N84" s="54" t="s">
        <v>396</v>
      </c>
      <c r="O84" s="1" t="s">
        <v>582</v>
      </c>
      <c r="P84" s="140" t="s">
        <v>872</v>
      </c>
    </row>
    <row r="85" spans="1:16" ht="17">
      <c r="A85" s="3" t="s">
        <v>583</v>
      </c>
      <c r="B85" s="197" t="s">
        <v>6</v>
      </c>
      <c r="C85" s="3" t="s">
        <v>3</v>
      </c>
      <c r="D85" s="3" t="s">
        <v>5</v>
      </c>
      <c r="E85" s="3">
        <v>3</v>
      </c>
      <c r="F85" s="280" t="s">
        <v>37</v>
      </c>
      <c r="G85" s="11" t="s">
        <v>10</v>
      </c>
      <c r="H85" s="5" t="s">
        <v>873</v>
      </c>
      <c r="I85" s="66" t="s">
        <v>1030</v>
      </c>
      <c r="J85" s="5" t="s">
        <v>874</v>
      </c>
      <c r="K85" s="66" t="s">
        <v>875</v>
      </c>
      <c r="L85" s="6" t="s">
        <v>679</v>
      </c>
      <c r="M85" s="79" t="s">
        <v>308</v>
      </c>
      <c r="N85" s="54" t="s">
        <v>396</v>
      </c>
      <c r="O85" s="1" t="s">
        <v>582</v>
      </c>
      <c r="P85" s="140" t="s">
        <v>876</v>
      </c>
    </row>
    <row r="86" spans="1:16" ht="17">
      <c r="A86" s="3" t="s">
        <v>583</v>
      </c>
      <c r="B86" s="197" t="s">
        <v>6</v>
      </c>
      <c r="C86" s="3" t="s">
        <v>3</v>
      </c>
      <c r="D86" s="22" t="s">
        <v>5</v>
      </c>
      <c r="E86" s="22">
        <v>3</v>
      </c>
      <c r="F86" s="281" t="s">
        <v>38</v>
      </c>
      <c r="G86" s="282" t="s">
        <v>8</v>
      </c>
      <c r="H86" s="58" t="s">
        <v>316</v>
      </c>
      <c r="I86" s="59" t="s">
        <v>760</v>
      </c>
      <c r="J86" s="60" t="s">
        <v>317</v>
      </c>
      <c r="K86" s="81" t="s">
        <v>318</v>
      </c>
      <c r="L86" s="6" t="s">
        <v>679</v>
      </c>
      <c r="M86" s="53" t="s">
        <v>308</v>
      </c>
      <c r="N86" s="54" t="s">
        <v>396</v>
      </c>
      <c r="O86" s="1" t="s">
        <v>582</v>
      </c>
      <c r="P86" s="140"/>
    </row>
    <row r="87" spans="1:16" ht="17">
      <c r="A87" s="3" t="s">
        <v>583</v>
      </c>
      <c r="B87" s="197" t="s">
        <v>6</v>
      </c>
      <c r="C87" s="3" t="s">
        <v>3</v>
      </c>
      <c r="D87" s="3" t="s">
        <v>5</v>
      </c>
      <c r="E87" s="3">
        <v>3</v>
      </c>
      <c r="F87" s="280" t="s">
        <v>38</v>
      </c>
      <c r="G87" s="11" t="s">
        <v>9</v>
      </c>
      <c r="H87" s="6">
        <v>12130623</v>
      </c>
      <c r="I87" s="73" t="s">
        <v>877</v>
      </c>
      <c r="J87" s="6" t="s">
        <v>420</v>
      </c>
      <c r="K87" s="66" t="s">
        <v>421</v>
      </c>
      <c r="L87" s="6" t="s">
        <v>679</v>
      </c>
      <c r="M87" s="79" t="s">
        <v>308</v>
      </c>
      <c r="N87" s="54" t="s">
        <v>396</v>
      </c>
      <c r="O87" s="1" t="s">
        <v>582</v>
      </c>
      <c r="P87" s="140"/>
    </row>
    <row r="88" spans="1:16" ht="17">
      <c r="A88" s="3" t="s">
        <v>583</v>
      </c>
      <c r="B88" s="197" t="s">
        <v>6</v>
      </c>
      <c r="C88" s="3" t="s">
        <v>3</v>
      </c>
      <c r="D88" s="3" t="s">
        <v>5</v>
      </c>
      <c r="E88" s="3">
        <v>3</v>
      </c>
      <c r="F88" s="280" t="s">
        <v>38</v>
      </c>
      <c r="G88" s="11" t="s">
        <v>10</v>
      </c>
      <c r="H88" s="5" t="s">
        <v>878</v>
      </c>
      <c r="I88" s="66" t="s">
        <v>1054</v>
      </c>
      <c r="J88" s="5" t="s">
        <v>879</v>
      </c>
      <c r="K88" s="66" t="s">
        <v>1921</v>
      </c>
      <c r="L88" s="6" t="s">
        <v>679</v>
      </c>
      <c r="M88" s="11" t="s">
        <v>308</v>
      </c>
      <c r="N88" s="54" t="s">
        <v>396</v>
      </c>
      <c r="O88" s="1" t="s">
        <v>582</v>
      </c>
      <c r="P88" s="140" t="s">
        <v>880</v>
      </c>
    </row>
    <row r="89" spans="1:16" ht="17">
      <c r="A89" s="3" t="s">
        <v>583</v>
      </c>
      <c r="B89" s="197" t="s">
        <v>6</v>
      </c>
      <c r="C89" s="3" t="s">
        <v>3</v>
      </c>
      <c r="D89" s="3" t="s">
        <v>5</v>
      </c>
      <c r="E89" s="3">
        <v>3</v>
      </c>
      <c r="F89" s="280" t="s">
        <v>39</v>
      </c>
      <c r="G89" s="11" t="s">
        <v>8</v>
      </c>
      <c r="H89" s="5" t="s">
        <v>881</v>
      </c>
      <c r="I89" s="66" t="s">
        <v>267</v>
      </c>
      <c r="J89" s="5" t="s">
        <v>882</v>
      </c>
      <c r="K89" s="68" t="s">
        <v>1922</v>
      </c>
      <c r="L89" s="6" t="s">
        <v>679</v>
      </c>
      <c r="M89" s="11" t="s">
        <v>308</v>
      </c>
      <c r="N89" s="54" t="s">
        <v>396</v>
      </c>
      <c r="O89" s="1" t="s">
        <v>582</v>
      </c>
      <c r="P89" s="140" t="s">
        <v>883</v>
      </c>
    </row>
    <row r="90" spans="1:16" ht="17">
      <c r="A90" s="3" t="s">
        <v>583</v>
      </c>
      <c r="B90" s="197" t="s">
        <v>6</v>
      </c>
      <c r="C90" s="3" t="s">
        <v>3</v>
      </c>
      <c r="D90" s="23" t="s">
        <v>5</v>
      </c>
      <c r="E90" s="23">
        <v>3</v>
      </c>
      <c r="F90" s="283" t="s">
        <v>39</v>
      </c>
      <c r="G90" s="284" t="s">
        <v>9</v>
      </c>
      <c r="H90" s="5" t="s">
        <v>884</v>
      </c>
      <c r="I90" s="66" t="s">
        <v>267</v>
      </c>
      <c r="J90" s="5" t="s">
        <v>885</v>
      </c>
      <c r="K90" s="68" t="s">
        <v>1923</v>
      </c>
      <c r="L90" s="6" t="s">
        <v>679</v>
      </c>
      <c r="M90" s="11" t="s">
        <v>308</v>
      </c>
      <c r="N90" s="54" t="s">
        <v>396</v>
      </c>
      <c r="O90" s="1" t="s">
        <v>582</v>
      </c>
      <c r="P90" s="140" t="s">
        <v>886</v>
      </c>
    </row>
    <row r="91" spans="1:16" ht="17">
      <c r="A91" s="3" t="s">
        <v>583</v>
      </c>
      <c r="B91" s="197" t="s">
        <v>6</v>
      </c>
      <c r="C91" s="3" t="s">
        <v>3</v>
      </c>
      <c r="D91" s="3" t="s">
        <v>5</v>
      </c>
      <c r="E91" s="3">
        <v>3</v>
      </c>
      <c r="F91" s="280" t="s">
        <v>39</v>
      </c>
      <c r="G91" s="11" t="s">
        <v>10</v>
      </c>
      <c r="H91" s="5" t="s">
        <v>887</v>
      </c>
      <c r="I91" s="66" t="s">
        <v>267</v>
      </c>
      <c r="J91" s="5" t="s">
        <v>888</v>
      </c>
      <c r="K91" s="68" t="s">
        <v>889</v>
      </c>
      <c r="L91" s="6" t="s">
        <v>679</v>
      </c>
      <c r="M91" s="11" t="s">
        <v>308</v>
      </c>
      <c r="N91" s="54" t="s">
        <v>396</v>
      </c>
      <c r="O91" s="1" t="s">
        <v>582</v>
      </c>
      <c r="P91" s="140" t="s">
        <v>890</v>
      </c>
    </row>
    <row r="92" spans="1:16" ht="17">
      <c r="A92" s="3" t="s">
        <v>583</v>
      </c>
      <c r="B92" s="197" t="s">
        <v>6</v>
      </c>
      <c r="C92" s="3" t="s">
        <v>3</v>
      </c>
      <c r="D92" s="3" t="s">
        <v>5</v>
      </c>
      <c r="E92" s="3">
        <v>3</v>
      </c>
      <c r="F92" s="280" t="s">
        <v>40</v>
      </c>
      <c r="G92" s="11" t="s">
        <v>8</v>
      </c>
      <c r="H92" s="5" t="s">
        <v>891</v>
      </c>
      <c r="I92" s="66" t="s">
        <v>513</v>
      </c>
      <c r="J92" s="5" t="s">
        <v>892</v>
      </c>
      <c r="K92" s="68" t="s">
        <v>893</v>
      </c>
      <c r="L92" s="6" t="s">
        <v>679</v>
      </c>
      <c r="M92" s="11" t="s">
        <v>308</v>
      </c>
      <c r="N92" s="54" t="s">
        <v>396</v>
      </c>
      <c r="O92" s="1" t="s">
        <v>582</v>
      </c>
      <c r="P92" s="140"/>
    </row>
    <row r="93" spans="1:16" ht="17">
      <c r="A93" s="3" t="s">
        <v>583</v>
      </c>
      <c r="B93" s="197" t="s">
        <v>6</v>
      </c>
      <c r="C93" s="3" t="s">
        <v>3</v>
      </c>
      <c r="D93" s="3" t="s">
        <v>5</v>
      </c>
      <c r="E93" s="3">
        <v>3</v>
      </c>
      <c r="F93" s="280" t="s">
        <v>40</v>
      </c>
      <c r="G93" s="11" t="s">
        <v>9</v>
      </c>
      <c r="H93" s="5" t="s">
        <v>894</v>
      </c>
      <c r="I93" s="66" t="s">
        <v>267</v>
      </c>
      <c r="J93" s="5" t="s">
        <v>895</v>
      </c>
      <c r="K93" s="68" t="s">
        <v>896</v>
      </c>
      <c r="L93" s="6" t="s">
        <v>679</v>
      </c>
      <c r="M93" s="11" t="s">
        <v>308</v>
      </c>
      <c r="N93" s="54" t="s">
        <v>396</v>
      </c>
      <c r="O93" s="1" t="s">
        <v>582</v>
      </c>
      <c r="P93" s="140" t="s">
        <v>897</v>
      </c>
    </row>
    <row r="94" spans="1:16" ht="17">
      <c r="A94" s="3" t="s">
        <v>583</v>
      </c>
      <c r="B94" s="197" t="s">
        <v>6</v>
      </c>
      <c r="C94" s="3" t="s">
        <v>3</v>
      </c>
      <c r="D94" s="3" t="s">
        <v>5</v>
      </c>
      <c r="E94" s="3">
        <v>3</v>
      </c>
      <c r="F94" s="280" t="s">
        <v>40</v>
      </c>
      <c r="G94" s="11" t="s">
        <v>10</v>
      </c>
      <c r="H94" s="5" t="s">
        <v>898</v>
      </c>
      <c r="I94" s="66" t="s">
        <v>899</v>
      </c>
      <c r="J94" s="5" t="s">
        <v>900</v>
      </c>
      <c r="K94" s="68" t="s">
        <v>902</v>
      </c>
      <c r="L94" s="6" t="s">
        <v>679</v>
      </c>
      <c r="M94" s="11" t="s">
        <v>308</v>
      </c>
      <c r="N94" s="54" t="s">
        <v>396</v>
      </c>
      <c r="O94" s="1" t="s">
        <v>582</v>
      </c>
      <c r="P94" s="140" t="s">
        <v>901</v>
      </c>
    </row>
    <row r="95" spans="1:16" ht="17">
      <c r="A95" s="3" t="s">
        <v>583</v>
      </c>
      <c r="B95" s="197" t="s">
        <v>6</v>
      </c>
      <c r="C95" s="3" t="s">
        <v>3</v>
      </c>
      <c r="D95" s="3" t="s">
        <v>5</v>
      </c>
      <c r="E95" s="3">
        <v>3</v>
      </c>
      <c r="F95" s="280" t="s">
        <v>41</v>
      </c>
      <c r="G95" s="11" t="s">
        <v>8</v>
      </c>
      <c r="H95" s="53">
        <v>14750286</v>
      </c>
      <c r="I95" s="66" t="s">
        <v>899</v>
      </c>
      <c r="J95" s="53" t="s">
        <v>1485</v>
      </c>
      <c r="K95" s="133" t="s">
        <v>1486</v>
      </c>
      <c r="L95" s="6" t="s">
        <v>679</v>
      </c>
      <c r="M95" s="53" t="s">
        <v>308</v>
      </c>
      <c r="N95" s="54" t="s">
        <v>396</v>
      </c>
      <c r="O95" s="1" t="s">
        <v>582</v>
      </c>
      <c r="P95" s="140"/>
    </row>
    <row r="96" spans="1:16" ht="17">
      <c r="A96" s="3" t="s">
        <v>583</v>
      </c>
      <c r="B96" s="197" t="s">
        <v>6</v>
      </c>
      <c r="C96" s="3" t="s">
        <v>3</v>
      </c>
      <c r="D96" s="3" t="s">
        <v>5</v>
      </c>
      <c r="E96" s="3">
        <v>3</v>
      </c>
      <c r="F96" s="280" t="s">
        <v>41</v>
      </c>
      <c r="G96" s="11" t="s">
        <v>9</v>
      </c>
      <c r="H96" s="53">
        <v>14420232</v>
      </c>
      <c r="I96" s="84" t="s">
        <v>1487</v>
      </c>
      <c r="J96" s="53" t="s">
        <v>1488</v>
      </c>
      <c r="K96" s="133" t="s">
        <v>1489</v>
      </c>
      <c r="L96" s="6" t="s">
        <v>679</v>
      </c>
      <c r="M96" s="53" t="s">
        <v>308</v>
      </c>
      <c r="N96" s="54" t="s">
        <v>396</v>
      </c>
      <c r="O96" s="1" t="s">
        <v>582</v>
      </c>
      <c r="P96" s="140"/>
    </row>
    <row r="97" spans="1:16" ht="17">
      <c r="A97" s="3" t="s">
        <v>583</v>
      </c>
      <c r="B97" s="197" t="s">
        <v>6</v>
      </c>
      <c r="C97" s="3" t="s">
        <v>3</v>
      </c>
      <c r="D97" s="3" t="s">
        <v>5</v>
      </c>
      <c r="E97" s="3">
        <v>3</v>
      </c>
      <c r="F97" s="280" t="s">
        <v>41</v>
      </c>
      <c r="G97" s="11" t="s">
        <v>10</v>
      </c>
      <c r="H97" s="5" t="s">
        <v>903</v>
      </c>
      <c r="I97" s="66" t="s">
        <v>1054</v>
      </c>
      <c r="J97" s="5" t="s">
        <v>904</v>
      </c>
      <c r="K97" s="66" t="s">
        <v>1490</v>
      </c>
      <c r="L97" s="6" t="s">
        <v>679</v>
      </c>
      <c r="M97" s="53" t="s">
        <v>308</v>
      </c>
      <c r="N97" s="54" t="s">
        <v>396</v>
      </c>
      <c r="O97" s="1" t="s">
        <v>582</v>
      </c>
      <c r="P97" s="140"/>
    </row>
    <row r="98" spans="1:16" ht="17">
      <c r="A98" s="3" t="s">
        <v>583</v>
      </c>
      <c r="B98" s="197" t="s">
        <v>6</v>
      </c>
      <c r="C98" s="3" t="s">
        <v>3</v>
      </c>
      <c r="D98" s="3" t="s">
        <v>5</v>
      </c>
      <c r="E98" s="3">
        <v>3</v>
      </c>
      <c r="F98" s="280" t="s">
        <v>42</v>
      </c>
      <c r="G98" s="11" t="s">
        <v>8</v>
      </c>
      <c r="H98" s="5" t="s">
        <v>905</v>
      </c>
      <c r="I98" s="66" t="s">
        <v>513</v>
      </c>
      <c r="J98" s="5" t="s">
        <v>906</v>
      </c>
      <c r="K98" s="68" t="s">
        <v>907</v>
      </c>
      <c r="L98" s="6" t="s">
        <v>679</v>
      </c>
      <c r="M98" s="53" t="s">
        <v>308</v>
      </c>
      <c r="N98" s="54" t="s">
        <v>396</v>
      </c>
      <c r="O98" s="1" t="s">
        <v>582</v>
      </c>
      <c r="P98" s="140"/>
    </row>
    <row r="99" spans="1:16" ht="17">
      <c r="A99" s="3" t="s">
        <v>583</v>
      </c>
      <c r="B99" s="197" t="s">
        <v>6</v>
      </c>
      <c r="C99" s="3" t="s">
        <v>3</v>
      </c>
      <c r="D99" s="3" t="s">
        <v>5</v>
      </c>
      <c r="E99" s="3">
        <v>3</v>
      </c>
      <c r="F99" s="280" t="s">
        <v>42</v>
      </c>
      <c r="G99" s="11" t="s">
        <v>9</v>
      </c>
      <c r="H99" s="5" t="s">
        <v>908</v>
      </c>
      <c r="I99" s="66" t="s">
        <v>909</v>
      </c>
      <c r="J99" s="5" t="s">
        <v>337</v>
      </c>
      <c r="K99" s="68" t="s">
        <v>910</v>
      </c>
      <c r="L99" s="6" t="s">
        <v>679</v>
      </c>
      <c r="M99" s="53" t="s">
        <v>308</v>
      </c>
      <c r="N99" s="54" t="s">
        <v>396</v>
      </c>
      <c r="O99" s="1" t="s">
        <v>582</v>
      </c>
      <c r="P99" s="140"/>
    </row>
    <row r="100" spans="1:16" ht="17">
      <c r="A100" s="3" t="s">
        <v>583</v>
      </c>
      <c r="B100" s="197" t="s">
        <v>6</v>
      </c>
      <c r="C100" s="3" t="s">
        <v>3</v>
      </c>
      <c r="D100" s="3" t="s">
        <v>5</v>
      </c>
      <c r="E100" s="3">
        <v>3</v>
      </c>
      <c r="F100" s="280" t="s">
        <v>42</v>
      </c>
      <c r="G100" s="11" t="s">
        <v>10</v>
      </c>
      <c r="H100" s="5" t="s">
        <v>953</v>
      </c>
      <c r="I100" s="66" t="s">
        <v>273</v>
      </c>
      <c r="J100" s="5" t="s">
        <v>954</v>
      </c>
      <c r="K100" s="68" t="s">
        <v>1989</v>
      </c>
      <c r="L100" s="6" t="s">
        <v>679</v>
      </c>
      <c r="M100" s="53" t="s">
        <v>308</v>
      </c>
      <c r="N100" s="54" t="s">
        <v>396</v>
      </c>
      <c r="O100" s="1" t="s">
        <v>582</v>
      </c>
      <c r="P100" s="140" t="s">
        <v>955</v>
      </c>
    </row>
    <row r="101" spans="1:16" ht="16.5" customHeight="1">
      <c r="A101" s="3" t="s">
        <v>583</v>
      </c>
      <c r="B101" s="240" t="s">
        <v>6</v>
      </c>
      <c r="C101" s="11" t="s">
        <v>3</v>
      </c>
      <c r="D101" s="11" t="s">
        <v>5</v>
      </c>
      <c r="E101" s="11">
        <v>3</v>
      </c>
      <c r="F101" s="280" t="s">
        <v>43</v>
      </c>
      <c r="G101" s="11" t="s">
        <v>8</v>
      </c>
      <c r="H101" s="349" t="s">
        <v>1494</v>
      </c>
      <c r="I101" s="351" t="s">
        <v>1495</v>
      </c>
      <c r="J101" s="352" t="s">
        <v>1496</v>
      </c>
      <c r="K101" s="131" t="s">
        <v>1988</v>
      </c>
      <c r="L101" s="70" t="s">
        <v>679</v>
      </c>
      <c r="M101" s="62" t="s">
        <v>292</v>
      </c>
      <c r="N101" s="54" t="s">
        <v>396</v>
      </c>
      <c r="O101" s="53" t="s">
        <v>581</v>
      </c>
      <c r="P101" s="345"/>
    </row>
    <row r="102" spans="1:16" ht="16.5" customHeight="1">
      <c r="A102" s="3" t="s">
        <v>583</v>
      </c>
      <c r="B102" s="240" t="s">
        <v>6</v>
      </c>
      <c r="C102" s="11" t="s">
        <v>3</v>
      </c>
      <c r="D102" s="11" t="s">
        <v>5</v>
      </c>
      <c r="E102" s="11">
        <v>3</v>
      </c>
      <c r="F102" s="280" t="s">
        <v>43</v>
      </c>
      <c r="G102" s="11" t="s">
        <v>9</v>
      </c>
      <c r="H102" s="349" t="s">
        <v>1491</v>
      </c>
      <c r="I102" s="365" t="s">
        <v>571</v>
      </c>
      <c r="J102" s="350" t="s">
        <v>1492</v>
      </c>
      <c r="K102" s="71" t="s">
        <v>1990</v>
      </c>
      <c r="L102" s="70" t="s">
        <v>679</v>
      </c>
      <c r="M102" s="62" t="s">
        <v>292</v>
      </c>
      <c r="N102" s="54" t="s">
        <v>396</v>
      </c>
      <c r="O102" s="53" t="s">
        <v>581</v>
      </c>
      <c r="P102" s="230" t="s">
        <v>1493</v>
      </c>
    </row>
    <row r="103" spans="1:16" ht="16.5" customHeight="1">
      <c r="A103" s="3" t="s">
        <v>583</v>
      </c>
      <c r="B103" s="197" t="s">
        <v>6</v>
      </c>
      <c r="C103" s="3" t="s">
        <v>3</v>
      </c>
      <c r="D103" s="3" t="s">
        <v>5</v>
      </c>
      <c r="E103" s="3">
        <v>3</v>
      </c>
      <c r="F103" s="280" t="s">
        <v>43</v>
      </c>
      <c r="G103" s="11" t="s">
        <v>10</v>
      </c>
      <c r="H103" s="315">
        <v>12483740</v>
      </c>
      <c r="I103" s="397" t="s">
        <v>571</v>
      </c>
      <c r="J103" s="398" t="s">
        <v>1530</v>
      </c>
      <c r="K103" s="129" t="s">
        <v>2079</v>
      </c>
      <c r="L103" s="70" t="s">
        <v>679</v>
      </c>
      <c r="M103" s="62" t="s">
        <v>292</v>
      </c>
      <c r="N103" s="54" t="s">
        <v>396</v>
      </c>
      <c r="O103" s="53" t="s">
        <v>581</v>
      </c>
      <c r="P103" s="12"/>
    </row>
    <row r="104" spans="1:16" ht="17">
      <c r="A104" s="3" t="s">
        <v>583</v>
      </c>
      <c r="B104" s="197" t="s">
        <v>6</v>
      </c>
      <c r="C104" s="3" t="s">
        <v>3</v>
      </c>
      <c r="D104" s="3" t="s">
        <v>5</v>
      </c>
      <c r="E104" s="3">
        <v>3</v>
      </c>
      <c r="F104" s="280" t="s">
        <v>44</v>
      </c>
      <c r="G104" s="11" t="s">
        <v>8</v>
      </c>
      <c r="H104" s="201" t="s">
        <v>635</v>
      </c>
      <c r="I104" s="261" t="s">
        <v>658</v>
      </c>
      <c r="J104" s="201" t="s">
        <v>636</v>
      </c>
      <c r="K104" s="205" t="s">
        <v>660</v>
      </c>
      <c r="L104" s="199" t="s">
        <v>680</v>
      </c>
      <c r="M104" s="206" t="s">
        <v>292</v>
      </c>
      <c r="N104" s="54" t="s">
        <v>643</v>
      </c>
      <c r="O104" s="1" t="s">
        <v>581</v>
      </c>
      <c r="P104" s="12" t="s">
        <v>2095</v>
      </c>
    </row>
    <row r="105" spans="1:16" ht="17">
      <c r="A105" s="3" t="s">
        <v>583</v>
      </c>
      <c r="B105" s="197" t="s">
        <v>6</v>
      </c>
      <c r="C105" s="3" t="s">
        <v>3</v>
      </c>
      <c r="D105" s="3" t="s">
        <v>5</v>
      </c>
      <c r="E105" s="3">
        <v>3</v>
      </c>
      <c r="F105" s="280" t="s">
        <v>44</v>
      </c>
      <c r="G105" s="11" t="s">
        <v>9</v>
      </c>
      <c r="H105" s="201" t="s">
        <v>639</v>
      </c>
      <c r="I105" s="261" t="s">
        <v>658</v>
      </c>
      <c r="J105" s="201" t="s">
        <v>640</v>
      </c>
      <c r="K105" s="205" t="s">
        <v>661</v>
      </c>
      <c r="L105" s="199" t="s">
        <v>680</v>
      </c>
      <c r="M105" s="206" t="s">
        <v>292</v>
      </c>
      <c r="N105" s="54" t="s">
        <v>643</v>
      </c>
      <c r="O105" s="1" t="s">
        <v>581</v>
      </c>
      <c r="P105" s="12" t="s">
        <v>2096</v>
      </c>
    </row>
    <row r="106" spans="1:16" ht="17">
      <c r="A106" s="3" t="s">
        <v>583</v>
      </c>
      <c r="B106" s="197" t="s">
        <v>6</v>
      </c>
      <c r="C106" s="3" t="s">
        <v>3</v>
      </c>
      <c r="D106" s="3" t="s">
        <v>5</v>
      </c>
      <c r="E106" s="3">
        <v>3</v>
      </c>
      <c r="F106" s="280" t="s">
        <v>44</v>
      </c>
      <c r="G106" s="11" t="s">
        <v>10</v>
      </c>
      <c r="H106" s="244">
        <v>14760493</v>
      </c>
      <c r="I106" s="297" t="s">
        <v>1495</v>
      </c>
      <c r="J106" s="264" t="s">
        <v>1515</v>
      </c>
      <c r="K106" s="71"/>
      <c r="L106" s="70" t="s">
        <v>679</v>
      </c>
      <c r="M106" s="57" t="s">
        <v>693</v>
      </c>
      <c r="N106" s="54" t="s">
        <v>396</v>
      </c>
      <c r="O106" s="1" t="s">
        <v>581</v>
      </c>
      <c r="P106" s="12"/>
    </row>
    <row r="107" spans="1:16" ht="17">
      <c r="A107" s="3" t="s">
        <v>583</v>
      </c>
      <c r="B107" s="197" t="s">
        <v>6</v>
      </c>
      <c r="C107" s="3" t="s">
        <v>3</v>
      </c>
      <c r="D107" s="3" t="s">
        <v>5</v>
      </c>
      <c r="E107" s="3">
        <v>3</v>
      </c>
      <c r="F107" s="280" t="s">
        <v>45</v>
      </c>
      <c r="G107" s="11" t="s">
        <v>8</v>
      </c>
      <c r="H107" s="201" t="s">
        <v>633</v>
      </c>
      <c r="I107" s="261" t="s">
        <v>1497</v>
      </c>
      <c r="J107" s="201" t="s">
        <v>634</v>
      </c>
      <c r="K107" s="205" t="s">
        <v>664</v>
      </c>
      <c r="L107" s="199" t="s">
        <v>680</v>
      </c>
      <c r="M107" s="206" t="s">
        <v>292</v>
      </c>
      <c r="N107" s="54" t="s">
        <v>643</v>
      </c>
      <c r="O107" s="1" t="s">
        <v>581</v>
      </c>
      <c r="P107" s="12" t="s">
        <v>2095</v>
      </c>
    </row>
    <row r="108" spans="1:16" ht="17">
      <c r="A108" s="3" t="s">
        <v>583</v>
      </c>
      <c r="B108" s="197" t="s">
        <v>6</v>
      </c>
      <c r="C108" s="3" t="s">
        <v>3</v>
      </c>
      <c r="D108" s="3" t="s">
        <v>5</v>
      </c>
      <c r="E108" s="3">
        <v>3</v>
      </c>
      <c r="F108" s="280" t="s">
        <v>45</v>
      </c>
      <c r="G108" s="11" t="s">
        <v>9</v>
      </c>
      <c r="H108" s="201" t="s">
        <v>615</v>
      </c>
      <c r="I108" s="261" t="s">
        <v>1497</v>
      </c>
      <c r="J108" s="201" t="s">
        <v>616</v>
      </c>
      <c r="K108" s="205" t="s">
        <v>665</v>
      </c>
      <c r="L108" s="199" t="s">
        <v>680</v>
      </c>
      <c r="M108" s="206" t="s">
        <v>292</v>
      </c>
      <c r="N108" s="54" t="s">
        <v>643</v>
      </c>
      <c r="O108" s="1" t="s">
        <v>581</v>
      </c>
      <c r="P108" s="12" t="s">
        <v>2095</v>
      </c>
    </row>
    <row r="109" spans="1:16" ht="17">
      <c r="A109" s="3" t="s">
        <v>583</v>
      </c>
      <c r="B109" s="197" t="s">
        <v>6</v>
      </c>
      <c r="C109" s="3" t="s">
        <v>3</v>
      </c>
      <c r="D109" s="3" t="s">
        <v>5</v>
      </c>
      <c r="E109" s="3">
        <v>3</v>
      </c>
      <c r="F109" s="280" t="s">
        <v>45</v>
      </c>
      <c r="G109" s="11" t="s">
        <v>10</v>
      </c>
      <c r="H109" s="201" t="s">
        <v>637</v>
      </c>
      <c r="I109" s="261" t="s">
        <v>1497</v>
      </c>
      <c r="J109" s="201" t="s">
        <v>638</v>
      </c>
      <c r="K109" s="205" t="s">
        <v>666</v>
      </c>
      <c r="L109" s="199" t="s">
        <v>680</v>
      </c>
      <c r="M109" s="206" t="s">
        <v>292</v>
      </c>
      <c r="N109" s="54" t="s">
        <v>643</v>
      </c>
      <c r="O109" s="1" t="s">
        <v>581</v>
      </c>
      <c r="P109" s="12" t="s">
        <v>2095</v>
      </c>
    </row>
    <row r="110" spans="1:16" ht="17">
      <c r="A110" s="3" t="s">
        <v>583</v>
      </c>
      <c r="B110" s="197" t="s">
        <v>6</v>
      </c>
      <c r="C110" s="3" t="s">
        <v>3</v>
      </c>
      <c r="D110" s="3" t="s">
        <v>5</v>
      </c>
      <c r="E110" s="3">
        <v>3</v>
      </c>
      <c r="F110" s="280" t="s">
        <v>46</v>
      </c>
      <c r="G110" s="11" t="s">
        <v>8</v>
      </c>
      <c r="H110" s="201" t="s">
        <v>611</v>
      </c>
      <c r="I110" s="261" t="s">
        <v>1497</v>
      </c>
      <c r="J110" s="201" t="s">
        <v>612</v>
      </c>
      <c r="K110" s="205" t="s">
        <v>1498</v>
      </c>
      <c r="L110" s="199" t="s">
        <v>680</v>
      </c>
      <c r="M110" s="206" t="s">
        <v>292</v>
      </c>
      <c r="N110" s="54" t="s">
        <v>643</v>
      </c>
      <c r="O110" s="1" t="s">
        <v>581</v>
      </c>
      <c r="P110" s="12" t="s">
        <v>2097</v>
      </c>
    </row>
    <row r="111" spans="1:16" ht="17">
      <c r="A111" s="3" t="s">
        <v>583</v>
      </c>
      <c r="B111" s="197" t="s">
        <v>6</v>
      </c>
      <c r="C111" s="3" t="s">
        <v>3</v>
      </c>
      <c r="D111" s="3" t="s">
        <v>5</v>
      </c>
      <c r="E111" s="3">
        <v>3</v>
      </c>
      <c r="F111" s="280" t="s">
        <v>46</v>
      </c>
      <c r="G111" s="11" t="s">
        <v>9</v>
      </c>
      <c r="H111" s="201" t="s">
        <v>613</v>
      </c>
      <c r="I111" s="261" t="s">
        <v>1497</v>
      </c>
      <c r="J111" s="201" t="s">
        <v>614</v>
      </c>
      <c r="K111" s="205" t="s">
        <v>663</v>
      </c>
      <c r="L111" s="199" t="s">
        <v>680</v>
      </c>
      <c r="M111" s="206" t="s">
        <v>292</v>
      </c>
      <c r="N111" s="54" t="s">
        <v>643</v>
      </c>
      <c r="O111" s="1" t="s">
        <v>581</v>
      </c>
      <c r="P111" s="12" t="s">
        <v>2097</v>
      </c>
    </row>
    <row r="112" spans="1:16" ht="17">
      <c r="A112" s="3" t="s">
        <v>583</v>
      </c>
      <c r="B112" s="197" t="s">
        <v>6</v>
      </c>
      <c r="C112" s="3" t="s">
        <v>3</v>
      </c>
      <c r="D112" s="3" t="s">
        <v>5</v>
      </c>
      <c r="E112" s="3">
        <v>3</v>
      </c>
      <c r="F112" s="280" t="s">
        <v>46</v>
      </c>
      <c r="G112" s="11" t="s">
        <v>10</v>
      </c>
      <c r="H112" s="201" t="s">
        <v>609</v>
      </c>
      <c r="I112" s="261" t="s">
        <v>1499</v>
      </c>
      <c r="J112" s="201" t="s">
        <v>610</v>
      </c>
      <c r="K112" s="205" t="s">
        <v>662</v>
      </c>
      <c r="L112" s="199" t="s">
        <v>680</v>
      </c>
      <c r="M112" s="206" t="s">
        <v>292</v>
      </c>
      <c r="N112" s="54" t="s">
        <v>643</v>
      </c>
      <c r="O112" s="1" t="s">
        <v>581</v>
      </c>
      <c r="P112" s="12" t="s">
        <v>2098</v>
      </c>
    </row>
    <row r="113" spans="1:16" ht="17">
      <c r="A113" s="3" t="s">
        <v>583</v>
      </c>
      <c r="B113" s="197" t="s">
        <v>6</v>
      </c>
      <c r="C113" s="3" t="s">
        <v>3</v>
      </c>
      <c r="D113" s="3" t="s">
        <v>5</v>
      </c>
      <c r="E113" s="3">
        <v>3</v>
      </c>
      <c r="F113" s="280" t="s">
        <v>47</v>
      </c>
      <c r="G113" s="11" t="s">
        <v>8</v>
      </c>
      <c r="H113" s="5" t="s">
        <v>911</v>
      </c>
      <c r="I113" s="66" t="s">
        <v>912</v>
      </c>
      <c r="J113" s="5" t="s">
        <v>913</v>
      </c>
      <c r="K113" s="68" t="s">
        <v>914</v>
      </c>
      <c r="L113" s="5" t="s">
        <v>1924</v>
      </c>
      <c r="M113" s="53" t="s">
        <v>308</v>
      </c>
      <c r="N113" s="54" t="s">
        <v>396</v>
      </c>
      <c r="O113" s="1" t="s">
        <v>582</v>
      </c>
      <c r="P113" s="140"/>
    </row>
    <row r="114" spans="1:16" ht="17">
      <c r="A114" s="3" t="s">
        <v>583</v>
      </c>
      <c r="B114" s="197" t="s">
        <v>6</v>
      </c>
      <c r="C114" s="3" t="s">
        <v>3</v>
      </c>
      <c r="D114" s="3" t="s">
        <v>5</v>
      </c>
      <c r="E114" s="3">
        <v>3</v>
      </c>
      <c r="F114" s="280" t="s">
        <v>47</v>
      </c>
      <c r="G114" s="11" t="s">
        <v>9</v>
      </c>
      <c r="H114" s="5" t="s">
        <v>915</v>
      </c>
      <c r="I114" s="66" t="s">
        <v>916</v>
      </c>
      <c r="J114" s="5" t="s">
        <v>917</v>
      </c>
      <c r="K114" s="68" t="s">
        <v>918</v>
      </c>
      <c r="L114" s="5" t="s">
        <v>1924</v>
      </c>
      <c r="M114" s="53" t="s">
        <v>308</v>
      </c>
      <c r="N114" s="54" t="s">
        <v>396</v>
      </c>
      <c r="O114" s="1" t="s">
        <v>582</v>
      </c>
      <c r="P114" s="348" t="s">
        <v>1927</v>
      </c>
    </row>
    <row r="115" spans="1:16" ht="17">
      <c r="A115" s="3" t="s">
        <v>583</v>
      </c>
      <c r="B115" s="197" t="s">
        <v>6</v>
      </c>
      <c r="C115" s="3" t="s">
        <v>3</v>
      </c>
      <c r="D115" s="3" t="s">
        <v>5</v>
      </c>
      <c r="E115" s="3">
        <v>3</v>
      </c>
      <c r="F115" s="280" t="s">
        <v>47</v>
      </c>
      <c r="G115" s="11" t="s">
        <v>10</v>
      </c>
      <c r="H115" s="5" t="s">
        <v>919</v>
      </c>
      <c r="I115" s="66" t="s">
        <v>920</v>
      </c>
      <c r="J115" s="5" t="s">
        <v>921</v>
      </c>
      <c r="K115" s="68" t="s">
        <v>922</v>
      </c>
      <c r="L115" s="5" t="s">
        <v>1924</v>
      </c>
      <c r="M115" s="53" t="s">
        <v>308</v>
      </c>
      <c r="N115" s="54" t="s">
        <v>396</v>
      </c>
      <c r="O115" s="1" t="s">
        <v>582</v>
      </c>
      <c r="P115" s="347">
        <v>952891722</v>
      </c>
    </row>
    <row r="116" spans="1:16" ht="17">
      <c r="A116" s="3" t="s">
        <v>583</v>
      </c>
      <c r="B116" s="197" t="s">
        <v>6</v>
      </c>
      <c r="C116" s="3" t="s">
        <v>3</v>
      </c>
      <c r="D116" s="3" t="s">
        <v>5</v>
      </c>
      <c r="E116" s="3">
        <v>3</v>
      </c>
      <c r="F116" s="280" t="s">
        <v>48</v>
      </c>
      <c r="G116" s="11" t="s">
        <v>8</v>
      </c>
      <c r="H116" s="5" t="s">
        <v>923</v>
      </c>
      <c r="I116" s="66" t="s">
        <v>924</v>
      </c>
      <c r="J116" s="5" t="s">
        <v>925</v>
      </c>
      <c r="K116" s="68" t="s">
        <v>926</v>
      </c>
      <c r="L116" s="5" t="s">
        <v>1924</v>
      </c>
      <c r="M116" s="53" t="s">
        <v>308</v>
      </c>
      <c r="N116" s="54" t="s">
        <v>396</v>
      </c>
      <c r="O116" s="1" t="s">
        <v>582</v>
      </c>
      <c r="P116" s="314"/>
    </row>
    <row r="117" spans="1:16" ht="17">
      <c r="A117" s="3" t="s">
        <v>583</v>
      </c>
      <c r="B117" s="197" t="s">
        <v>6</v>
      </c>
      <c r="C117" s="3" t="s">
        <v>3</v>
      </c>
      <c r="D117" s="3" t="s">
        <v>5</v>
      </c>
      <c r="E117" s="3">
        <v>3</v>
      </c>
      <c r="F117" s="280" t="s">
        <v>48</v>
      </c>
      <c r="G117" s="11" t="s">
        <v>9</v>
      </c>
      <c r="H117" s="54">
        <v>14390151</v>
      </c>
      <c r="I117" s="84" t="s">
        <v>1500</v>
      </c>
      <c r="J117" s="6" t="s">
        <v>1501</v>
      </c>
      <c r="K117" s="67" t="s">
        <v>1502</v>
      </c>
      <c r="L117" s="5" t="s">
        <v>1924</v>
      </c>
      <c r="M117" s="53" t="s">
        <v>308</v>
      </c>
      <c r="N117" s="54" t="s">
        <v>396</v>
      </c>
      <c r="O117" s="1" t="s">
        <v>582</v>
      </c>
      <c r="P117" s="140"/>
    </row>
    <row r="118" spans="1:16" ht="17">
      <c r="A118" s="3" t="s">
        <v>583</v>
      </c>
      <c r="B118" s="197" t="s">
        <v>6</v>
      </c>
      <c r="C118" s="3" t="s">
        <v>3</v>
      </c>
      <c r="D118" s="3" t="s">
        <v>5</v>
      </c>
      <c r="E118" s="3">
        <v>3</v>
      </c>
      <c r="F118" s="280" t="s">
        <v>48</v>
      </c>
      <c r="G118" s="11" t="s">
        <v>10</v>
      </c>
      <c r="H118" s="5" t="s">
        <v>927</v>
      </c>
      <c r="I118" s="66" t="s">
        <v>259</v>
      </c>
      <c r="J118" s="5" t="s">
        <v>928</v>
      </c>
      <c r="K118" s="68" t="s">
        <v>929</v>
      </c>
      <c r="L118" s="5" t="s">
        <v>1924</v>
      </c>
      <c r="M118" s="53" t="s">
        <v>308</v>
      </c>
      <c r="N118" s="54" t="s">
        <v>396</v>
      </c>
      <c r="O118" s="1" t="s">
        <v>582</v>
      </c>
      <c r="P118" s="347">
        <v>939867755</v>
      </c>
    </row>
    <row r="119" spans="1:16" ht="17">
      <c r="A119" s="3" t="s">
        <v>583</v>
      </c>
      <c r="B119" s="197" t="s">
        <v>6</v>
      </c>
      <c r="C119" s="3" t="s">
        <v>3</v>
      </c>
      <c r="D119" s="3" t="s">
        <v>5</v>
      </c>
      <c r="E119" s="3">
        <v>3</v>
      </c>
      <c r="F119" s="280" t="s">
        <v>49</v>
      </c>
      <c r="G119" s="11" t="s">
        <v>8</v>
      </c>
      <c r="H119" s="199" t="s">
        <v>644</v>
      </c>
      <c r="I119" s="208" t="s">
        <v>658</v>
      </c>
      <c r="J119" s="200" t="s">
        <v>645</v>
      </c>
      <c r="K119" s="208" t="s">
        <v>673</v>
      </c>
      <c r="L119" s="199" t="s">
        <v>680</v>
      </c>
      <c r="M119" s="206" t="s">
        <v>292</v>
      </c>
      <c r="N119" s="54" t="s">
        <v>643</v>
      </c>
      <c r="O119" s="1" t="s">
        <v>581</v>
      </c>
      <c r="P119" s="12" t="s">
        <v>2096</v>
      </c>
    </row>
    <row r="120" spans="1:16" ht="17">
      <c r="A120" s="3" t="s">
        <v>583</v>
      </c>
      <c r="B120" s="197" t="s">
        <v>6</v>
      </c>
      <c r="C120" s="3" t="s">
        <v>3</v>
      </c>
      <c r="D120" s="3" t="s">
        <v>5</v>
      </c>
      <c r="E120" s="3">
        <v>3</v>
      </c>
      <c r="F120" s="280" t="s">
        <v>49</v>
      </c>
      <c r="G120" s="11" t="s">
        <v>9</v>
      </c>
      <c r="H120" s="199" t="s">
        <v>646</v>
      </c>
      <c r="I120" s="208" t="s">
        <v>658</v>
      </c>
      <c r="J120" s="200" t="s">
        <v>647</v>
      </c>
      <c r="K120" s="208" t="s">
        <v>672</v>
      </c>
      <c r="L120" s="199" t="s">
        <v>680</v>
      </c>
      <c r="M120" s="206" t="s">
        <v>292</v>
      </c>
      <c r="N120" s="54" t="s">
        <v>643</v>
      </c>
      <c r="O120" s="1" t="s">
        <v>581</v>
      </c>
      <c r="P120" s="12" t="s">
        <v>2099</v>
      </c>
    </row>
    <row r="121" spans="1:16" ht="17">
      <c r="A121" s="3" t="s">
        <v>583</v>
      </c>
      <c r="B121" s="197" t="s">
        <v>6</v>
      </c>
      <c r="C121" s="3" t="s">
        <v>3</v>
      </c>
      <c r="D121" s="3" t="s">
        <v>5</v>
      </c>
      <c r="E121" s="3">
        <v>3</v>
      </c>
      <c r="F121" s="280">
        <v>1294</v>
      </c>
      <c r="G121" s="11" t="s">
        <v>10</v>
      </c>
      <c r="H121" s="199" t="s">
        <v>625</v>
      </c>
      <c r="I121" s="208" t="s">
        <v>658</v>
      </c>
      <c r="J121" s="200" t="s">
        <v>626</v>
      </c>
      <c r="K121" s="208" t="s">
        <v>674</v>
      </c>
      <c r="L121" s="199" t="s">
        <v>680</v>
      </c>
      <c r="M121" s="206" t="s">
        <v>292</v>
      </c>
      <c r="N121" s="54" t="s">
        <v>643</v>
      </c>
      <c r="O121" s="1" t="s">
        <v>581</v>
      </c>
      <c r="P121" s="12" t="s">
        <v>2100</v>
      </c>
    </row>
    <row r="122" spans="1:16" ht="17">
      <c r="A122" s="3" t="s">
        <v>583</v>
      </c>
      <c r="B122" s="197" t="s">
        <v>6</v>
      </c>
      <c r="C122" s="3" t="s">
        <v>3</v>
      </c>
      <c r="D122" s="3" t="s">
        <v>5</v>
      </c>
      <c r="E122" s="3">
        <v>3</v>
      </c>
      <c r="F122" s="280" t="s">
        <v>50</v>
      </c>
      <c r="G122" s="11" t="s">
        <v>8</v>
      </c>
      <c r="H122" s="201" t="s">
        <v>621</v>
      </c>
      <c r="I122" s="261" t="s">
        <v>1499</v>
      </c>
      <c r="J122" s="201" t="s">
        <v>622</v>
      </c>
      <c r="K122" s="205" t="s">
        <v>667</v>
      </c>
      <c r="L122" s="199" t="s">
        <v>680</v>
      </c>
      <c r="M122" s="206" t="s">
        <v>292</v>
      </c>
      <c r="N122" s="54" t="s">
        <v>643</v>
      </c>
      <c r="O122" s="1" t="s">
        <v>581</v>
      </c>
      <c r="P122" s="12" t="s">
        <v>2101</v>
      </c>
    </row>
    <row r="123" spans="1:16" ht="17">
      <c r="A123" s="3" t="s">
        <v>583</v>
      </c>
      <c r="B123" s="197" t="s">
        <v>6</v>
      </c>
      <c r="C123" s="3" t="s">
        <v>3</v>
      </c>
      <c r="D123" s="3" t="s">
        <v>5</v>
      </c>
      <c r="E123" s="3">
        <v>3</v>
      </c>
      <c r="F123" s="280" t="s">
        <v>50</v>
      </c>
      <c r="G123" s="11" t="s">
        <v>9</v>
      </c>
      <c r="H123" s="199" t="s">
        <v>617</v>
      </c>
      <c r="I123" s="208" t="s">
        <v>1499</v>
      </c>
      <c r="J123" s="200" t="s">
        <v>618</v>
      </c>
      <c r="K123" s="208" t="s">
        <v>1503</v>
      </c>
      <c r="L123" s="199" t="s">
        <v>680</v>
      </c>
      <c r="M123" s="206" t="s">
        <v>292</v>
      </c>
      <c r="N123" s="54" t="s">
        <v>643</v>
      </c>
      <c r="O123" s="1" t="s">
        <v>581</v>
      </c>
      <c r="P123" s="12" t="s">
        <v>2096</v>
      </c>
    </row>
    <row r="124" spans="1:16" ht="17">
      <c r="A124" s="3" t="s">
        <v>583</v>
      </c>
      <c r="B124" s="197" t="s">
        <v>6</v>
      </c>
      <c r="C124" s="3" t="s">
        <v>3</v>
      </c>
      <c r="D124" s="3" t="s">
        <v>5</v>
      </c>
      <c r="E124" s="3">
        <v>3</v>
      </c>
      <c r="F124" s="280" t="s">
        <v>50</v>
      </c>
      <c r="G124" s="11" t="s">
        <v>10</v>
      </c>
      <c r="H124" s="199" t="s">
        <v>629</v>
      </c>
      <c r="I124" s="208" t="s">
        <v>1499</v>
      </c>
      <c r="J124" s="200" t="s">
        <v>630</v>
      </c>
      <c r="K124" s="208" t="s">
        <v>1504</v>
      </c>
      <c r="L124" s="199" t="s">
        <v>680</v>
      </c>
      <c r="M124" s="206" t="s">
        <v>292</v>
      </c>
      <c r="N124" s="54" t="s">
        <v>643</v>
      </c>
      <c r="O124" s="1" t="s">
        <v>581</v>
      </c>
      <c r="P124" s="12" t="s">
        <v>2102</v>
      </c>
    </row>
    <row r="125" spans="1:16" ht="17">
      <c r="A125" s="3" t="s">
        <v>583</v>
      </c>
      <c r="B125" s="197" t="s">
        <v>6</v>
      </c>
      <c r="C125" s="3" t="s">
        <v>3</v>
      </c>
      <c r="D125" s="3" t="s">
        <v>5</v>
      </c>
      <c r="E125" s="3">
        <v>3</v>
      </c>
      <c r="F125" s="280" t="s">
        <v>51</v>
      </c>
      <c r="G125" s="11" t="s">
        <v>8</v>
      </c>
      <c r="H125" s="58" t="s">
        <v>326</v>
      </c>
      <c r="I125" s="59" t="s">
        <v>1535</v>
      </c>
      <c r="J125" s="60" t="s">
        <v>327</v>
      </c>
      <c r="K125" s="81" t="s">
        <v>388</v>
      </c>
      <c r="L125" s="6" t="s">
        <v>679</v>
      </c>
      <c r="M125" s="53" t="s">
        <v>308</v>
      </c>
      <c r="N125" s="54" t="s">
        <v>396</v>
      </c>
      <c r="O125" s="1" t="s">
        <v>582</v>
      </c>
      <c r="P125" s="12"/>
    </row>
    <row r="126" spans="1:16" ht="17">
      <c r="A126" s="3" t="s">
        <v>583</v>
      </c>
      <c r="B126" s="197" t="s">
        <v>6</v>
      </c>
      <c r="C126" s="3" t="s">
        <v>3</v>
      </c>
      <c r="D126" s="3" t="s">
        <v>5</v>
      </c>
      <c r="E126" s="3">
        <v>3</v>
      </c>
      <c r="F126" s="280" t="s">
        <v>51</v>
      </c>
      <c r="G126" s="11" t="s">
        <v>9</v>
      </c>
      <c r="H126" s="5" t="s">
        <v>276</v>
      </c>
      <c r="I126" s="66" t="s">
        <v>930</v>
      </c>
      <c r="J126" s="5" t="s">
        <v>255</v>
      </c>
      <c r="K126" s="81" t="s">
        <v>298</v>
      </c>
      <c r="L126" s="6" t="s">
        <v>679</v>
      </c>
      <c r="M126" s="53" t="s">
        <v>308</v>
      </c>
      <c r="N126" s="54" t="s">
        <v>396</v>
      </c>
      <c r="O126" s="1" t="s">
        <v>582</v>
      </c>
      <c r="P126" s="12"/>
    </row>
    <row r="127" spans="1:16" ht="17">
      <c r="A127" s="3" t="s">
        <v>583</v>
      </c>
      <c r="B127" s="197" t="s">
        <v>6</v>
      </c>
      <c r="C127" s="3" t="s">
        <v>3</v>
      </c>
      <c r="D127" s="3" t="s">
        <v>5</v>
      </c>
      <c r="E127" s="3">
        <v>3</v>
      </c>
      <c r="F127" s="280" t="s">
        <v>51</v>
      </c>
      <c r="G127" s="11" t="s">
        <v>10</v>
      </c>
      <c r="H127" s="5" t="s">
        <v>931</v>
      </c>
      <c r="I127" s="66" t="s">
        <v>1054</v>
      </c>
      <c r="J127" s="5" t="s">
        <v>932</v>
      </c>
      <c r="K127" s="66" t="s">
        <v>933</v>
      </c>
      <c r="L127" s="6" t="s">
        <v>679</v>
      </c>
      <c r="M127" s="53" t="s">
        <v>308</v>
      </c>
      <c r="N127" s="54" t="s">
        <v>396</v>
      </c>
      <c r="O127" s="1" t="s">
        <v>582</v>
      </c>
      <c r="P127" s="318" t="s">
        <v>2092</v>
      </c>
    </row>
    <row r="128" spans="1:16" ht="17">
      <c r="A128" s="3" t="s">
        <v>583</v>
      </c>
      <c r="B128" s="197" t="s">
        <v>6</v>
      </c>
      <c r="C128" s="3" t="s">
        <v>3</v>
      </c>
      <c r="D128" s="3" t="s">
        <v>5</v>
      </c>
      <c r="E128" s="3">
        <v>3</v>
      </c>
      <c r="F128" s="280" t="s">
        <v>52</v>
      </c>
      <c r="G128" s="11" t="s">
        <v>8</v>
      </c>
      <c r="H128" s="5" t="s">
        <v>426</v>
      </c>
      <c r="I128" s="66" t="s">
        <v>934</v>
      </c>
      <c r="J128" s="5" t="s">
        <v>427</v>
      </c>
      <c r="K128" s="66" t="s">
        <v>428</v>
      </c>
      <c r="L128" s="6" t="s">
        <v>1904</v>
      </c>
      <c r="M128" s="53" t="s">
        <v>308</v>
      </c>
      <c r="N128" s="54" t="s">
        <v>396</v>
      </c>
      <c r="O128" s="1" t="s">
        <v>582</v>
      </c>
      <c r="P128" s="12"/>
    </row>
    <row r="129" spans="1:16" ht="17">
      <c r="A129" s="3" t="s">
        <v>583</v>
      </c>
      <c r="B129" s="197" t="s">
        <v>6</v>
      </c>
      <c r="C129" s="3" t="s">
        <v>3</v>
      </c>
      <c r="D129" s="3" t="s">
        <v>5</v>
      </c>
      <c r="E129" s="3">
        <v>3</v>
      </c>
      <c r="F129" s="280" t="s">
        <v>52</v>
      </c>
      <c r="G129" s="11" t="s">
        <v>9</v>
      </c>
      <c r="H129" s="5" t="s">
        <v>935</v>
      </c>
      <c r="I129" s="66" t="s">
        <v>1054</v>
      </c>
      <c r="J129" s="5" t="s">
        <v>936</v>
      </c>
      <c r="K129" s="66" t="s">
        <v>937</v>
      </c>
      <c r="L129" s="6" t="s">
        <v>1904</v>
      </c>
      <c r="M129" s="53" t="s">
        <v>308</v>
      </c>
      <c r="N129" s="54" t="s">
        <v>396</v>
      </c>
      <c r="O129" s="1" t="s">
        <v>582</v>
      </c>
      <c r="P129" s="230"/>
    </row>
    <row r="130" spans="1:16" ht="17">
      <c r="A130" s="3" t="s">
        <v>583</v>
      </c>
      <c r="B130" s="197" t="s">
        <v>6</v>
      </c>
      <c r="C130" s="3" t="s">
        <v>3</v>
      </c>
      <c r="D130" s="3" t="s">
        <v>5</v>
      </c>
      <c r="E130" s="3">
        <v>3</v>
      </c>
      <c r="F130" s="280" t="s">
        <v>52</v>
      </c>
      <c r="G130" s="11" t="s">
        <v>10</v>
      </c>
      <c r="H130" s="5" t="s">
        <v>429</v>
      </c>
      <c r="I130" s="66" t="s">
        <v>1505</v>
      </c>
      <c r="J130" s="5" t="s">
        <v>430</v>
      </c>
      <c r="K130" s="66" t="s">
        <v>431</v>
      </c>
      <c r="L130" s="6" t="s">
        <v>679</v>
      </c>
      <c r="M130" s="53" t="s">
        <v>308</v>
      </c>
      <c r="N130" s="54" t="s">
        <v>396</v>
      </c>
      <c r="O130" s="1" t="s">
        <v>582</v>
      </c>
      <c r="P130" s="12"/>
    </row>
    <row r="131" spans="1:16" ht="17">
      <c r="A131" s="3" t="s">
        <v>583</v>
      </c>
      <c r="B131" s="197" t="s">
        <v>6</v>
      </c>
      <c r="C131" s="3" t="s">
        <v>3</v>
      </c>
      <c r="D131" s="3" t="s">
        <v>5</v>
      </c>
      <c r="E131" s="3">
        <v>3</v>
      </c>
      <c r="F131" s="280" t="s">
        <v>53</v>
      </c>
      <c r="G131" s="11" t="s">
        <v>8</v>
      </c>
      <c r="H131" s="201" t="s">
        <v>619</v>
      </c>
      <c r="I131" s="261" t="s">
        <v>658</v>
      </c>
      <c r="J131" s="201" t="s">
        <v>620</v>
      </c>
      <c r="K131" s="205" t="s">
        <v>1506</v>
      </c>
      <c r="L131" s="199" t="s">
        <v>680</v>
      </c>
      <c r="M131" s="206" t="s">
        <v>292</v>
      </c>
      <c r="N131" s="54" t="s">
        <v>643</v>
      </c>
      <c r="O131" s="1" t="s">
        <v>581</v>
      </c>
      <c r="P131" s="12" t="s">
        <v>2096</v>
      </c>
    </row>
    <row r="132" spans="1:16" ht="17">
      <c r="A132" s="3" t="s">
        <v>583</v>
      </c>
      <c r="B132" s="197" t="s">
        <v>6</v>
      </c>
      <c r="C132" s="3" t="s">
        <v>3</v>
      </c>
      <c r="D132" s="3" t="s">
        <v>5</v>
      </c>
      <c r="E132" s="3">
        <v>3</v>
      </c>
      <c r="F132" s="280" t="s">
        <v>53</v>
      </c>
      <c r="G132" s="11" t="s">
        <v>9</v>
      </c>
      <c r="H132" s="201" t="s">
        <v>623</v>
      </c>
      <c r="I132" s="261" t="s">
        <v>659</v>
      </c>
      <c r="J132" s="201" t="s">
        <v>624</v>
      </c>
      <c r="K132" s="205" t="s">
        <v>668</v>
      </c>
      <c r="L132" s="199" t="s">
        <v>680</v>
      </c>
      <c r="M132" s="206" t="s">
        <v>292</v>
      </c>
      <c r="N132" s="54" t="s">
        <v>643</v>
      </c>
      <c r="O132" s="1" t="s">
        <v>581</v>
      </c>
      <c r="P132" s="12" t="s">
        <v>2095</v>
      </c>
    </row>
    <row r="133" spans="1:16" ht="17">
      <c r="A133" s="3" t="s">
        <v>583</v>
      </c>
      <c r="B133" s="197" t="s">
        <v>6</v>
      </c>
      <c r="C133" s="3" t="s">
        <v>3</v>
      </c>
      <c r="D133" s="3" t="s">
        <v>5</v>
      </c>
      <c r="E133" s="3">
        <v>3</v>
      </c>
      <c r="F133" s="280" t="s">
        <v>53</v>
      </c>
      <c r="G133" s="11" t="s">
        <v>10</v>
      </c>
      <c r="H133" s="199" t="s">
        <v>627</v>
      </c>
      <c r="I133" s="208" t="s">
        <v>658</v>
      </c>
      <c r="J133" s="200" t="s">
        <v>628</v>
      </c>
      <c r="K133" s="208" t="s">
        <v>671</v>
      </c>
      <c r="L133" s="199" t="s">
        <v>680</v>
      </c>
      <c r="M133" s="206" t="s">
        <v>292</v>
      </c>
      <c r="N133" s="54" t="s">
        <v>643</v>
      </c>
      <c r="O133" s="1" t="s">
        <v>581</v>
      </c>
      <c r="P133" s="12" t="s">
        <v>2099</v>
      </c>
    </row>
    <row r="134" spans="1:16" ht="17">
      <c r="A134" s="3" t="s">
        <v>583</v>
      </c>
      <c r="B134" s="197" t="s">
        <v>6</v>
      </c>
      <c r="C134" s="3" t="s">
        <v>3</v>
      </c>
      <c r="D134" s="3" t="s">
        <v>5</v>
      </c>
      <c r="E134" s="3">
        <v>3</v>
      </c>
      <c r="F134" s="280" t="s">
        <v>54</v>
      </c>
      <c r="G134" s="11" t="s">
        <v>8</v>
      </c>
      <c r="H134" s="70">
        <v>13446510</v>
      </c>
      <c r="I134" s="270" t="s">
        <v>588</v>
      </c>
      <c r="J134" s="70" t="s">
        <v>587</v>
      </c>
      <c r="K134" s="129" t="s">
        <v>689</v>
      </c>
      <c r="L134" s="70" t="s">
        <v>681</v>
      </c>
      <c r="M134" s="70" t="s">
        <v>293</v>
      </c>
      <c r="N134" s="54" t="s">
        <v>580</v>
      </c>
      <c r="O134" s="53" t="s">
        <v>581</v>
      </c>
      <c r="P134" s="153"/>
    </row>
    <row r="135" spans="1:16" ht="17">
      <c r="A135" s="3" t="s">
        <v>583</v>
      </c>
      <c r="B135" s="197" t="s">
        <v>6</v>
      </c>
      <c r="C135" s="3" t="s">
        <v>3</v>
      </c>
      <c r="D135" s="3" t="s">
        <v>5</v>
      </c>
      <c r="E135" s="3">
        <v>3</v>
      </c>
      <c r="F135" s="280" t="s">
        <v>54</v>
      </c>
      <c r="G135" s="11" t="s">
        <v>9</v>
      </c>
      <c r="H135" s="241">
        <v>14590383</v>
      </c>
      <c r="I135" s="296" t="s">
        <v>1507</v>
      </c>
      <c r="J135" s="241" t="s">
        <v>1508</v>
      </c>
      <c r="K135" s="366" t="s">
        <v>1991</v>
      </c>
      <c r="L135" s="70" t="s">
        <v>679</v>
      </c>
      <c r="M135" s="70" t="s">
        <v>1509</v>
      </c>
      <c r="N135" s="54" t="s">
        <v>396</v>
      </c>
      <c r="O135" s="53" t="s">
        <v>581</v>
      </c>
      <c r="P135" s="243" t="s">
        <v>938</v>
      </c>
    </row>
    <row r="136" spans="1:16" ht="17">
      <c r="A136" s="3" t="s">
        <v>583</v>
      </c>
      <c r="B136" s="197" t="s">
        <v>6</v>
      </c>
      <c r="C136" s="3" t="s">
        <v>3</v>
      </c>
      <c r="D136" s="3" t="s">
        <v>5</v>
      </c>
      <c r="E136" s="3">
        <v>3</v>
      </c>
      <c r="F136" s="280" t="s">
        <v>54</v>
      </c>
      <c r="G136" s="11" t="s">
        <v>10</v>
      </c>
      <c r="H136" s="78" t="s">
        <v>601</v>
      </c>
      <c r="I136" s="87" t="s">
        <v>1510</v>
      </c>
      <c r="J136" s="193" t="s">
        <v>602</v>
      </c>
      <c r="K136" s="131" t="s">
        <v>607</v>
      </c>
      <c r="L136" s="70" t="s">
        <v>681</v>
      </c>
      <c r="M136" s="57" t="s">
        <v>293</v>
      </c>
      <c r="N136" s="54" t="s">
        <v>580</v>
      </c>
      <c r="O136" s="53" t="s">
        <v>581</v>
      </c>
      <c r="P136" s="12"/>
    </row>
    <row r="137" spans="1:16" ht="17">
      <c r="A137" s="3" t="s">
        <v>583</v>
      </c>
      <c r="B137" s="197" t="s">
        <v>6</v>
      </c>
      <c r="C137" s="3" t="s">
        <v>3</v>
      </c>
      <c r="D137" s="3" t="s">
        <v>5</v>
      </c>
      <c r="E137" s="3">
        <v>3</v>
      </c>
      <c r="F137" s="280" t="s">
        <v>55</v>
      </c>
      <c r="G137" s="11" t="s">
        <v>8</v>
      </c>
      <c r="H137" s="343" t="s">
        <v>1539</v>
      </c>
      <c r="I137" s="258" t="s">
        <v>1513</v>
      </c>
      <c r="J137" s="344" t="s">
        <v>1540</v>
      </c>
      <c r="K137" s="339"/>
      <c r="L137" s="70" t="s">
        <v>679</v>
      </c>
      <c r="M137" s="62" t="s">
        <v>292</v>
      </c>
      <c r="N137" s="54" t="s">
        <v>396</v>
      </c>
      <c r="O137" s="53" t="s">
        <v>581</v>
      </c>
      <c r="P137" s="89"/>
    </row>
    <row r="138" spans="1:16" ht="17">
      <c r="A138" s="3" t="s">
        <v>583</v>
      </c>
      <c r="B138" s="197" t="s">
        <v>6</v>
      </c>
      <c r="C138" s="3" t="s">
        <v>3</v>
      </c>
      <c r="D138" s="3" t="s">
        <v>5</v>
      </c>
      <c r="E138" s="3">
        <v>3</v>
      </c>
      <c r="F138" s="280" t="s">
        <v>55</v>
      </c>
      <c r="G138" s="11" t="s">
        <v>9</v>
      </c>
      <c r="H138" s="244" t="s">
        <v>939</v>
      </c>
      <c r="I138" s="262" t="s">
        <v>1513</v>
      </c>
      <c r="J138" s="263" t="s">
        <v>940</v>
      </c>
      <c r="K138" s="71" t="s">
        <v>1992</v>
      </c>
      <c r="L138" s="70" t="s">
        <v>679</v>
      </c>
      <c r="M138" s="62" t="s">
        <v>292</v>
      </c>
      <c r="N138" s="54" t="s">
        <v>396</v>
      </c>
      <c r="O138" s="53" t="s">
        <v>581</v>
      </c>
      <c r="P138" s="75"/>
    </row>
    <row r="139" spans="1:16" ht="17">
      <c r="A139" s="3" t="s">
        <v>583</v>
      </c>
      <c r="B139" s="197" t="s">
        <v>6</v>
      </c>
      <c r="C139" s="3" t="s">
        <v>3</v>
      </c>
      <c r="D139" s="3" t="s">
        <v>5</v>
      </c>
      <c r="E139" s="3">
        <v>3</v>
      </c>
      <c r="F139" s="280" t="s">
        <v>55</v>
      </c>
      <c r="G139" s="11" t="s">
        <v>10</v>
      </c>
      <c r="H139" s="70">
        <v>14890706</v>
      </c>
      <c r="I139" s="341" t="s">
        <v>1513</v>
      </c>
      <c r="J139" s="342" t="s">
        <v>1514</v>
      </c>
      <c r="K139" s="71"/>
      <c r="L139" s="70" t="s">
        <v>679</v>
      </c>
      <c r="M139" s="62" t="s">
        <v>292</v>
      </c>
      <c r="N139" s="54" t="s">
        <v>396</v>
      </c>
      <c r="O139" s="53" t="s">
        <v>581</v>
      </c>
      <c r="P139" s="12"/>
    </row>
    <row r="140" spans="1:16" ht="17">
      <c r="A140" s="3" t="s">
        <v>583</v>
      </c>
      <c r="B140" s="197" t="s">
        <v>6</v>
      </c>
      <c r="C140" s="3" t="s">
        <v>3</v>
      </c>
      <c r="D140" s="3" t="s">
        <v>5</v>
      </c>
      <c r="E140" s="3">
        <v>3</v>
      </c>
      <c r="F140" s="280" t="s">
        <v>56</v>
      </c>
      <c r="G140" s="11" t="s">
        <v>8</v>
      </c>
      <c r="H140" s="57" t="s">
        <v>331</v>
      </c>
      <c r="I140" s="362" t="s">
        <v>432</v>
      </c>
      <c r="J140" s="61" t="s">
        <v>332</v>
      </c>
      <c r="K140" s="71" t="s">
        <v>608</v>
      </c>
      <c r="L140" s="70" t="s">
        <v>679</v>
      </c>
      <c r="M140" s="62" t="s">
        <v>292</v>
      </c>
      <c r="N140" s="54" t="s">
        <v>396</v>
      </c>
      <c r="O140" s="53" t="s">
        <v>581</v>
      </c>
      <c r="P140" s="142"/>
    </row>
    <row r="141" spans="1:16" ht="17">
      <c r="A141" s="3" t="s">
        <v>583</v>
      </c>
      <c r="B141" s="197" t="s">
        <v>6</v>
      </c>
      <c r="C141" s="3" t="s">
        <v>3</v>
      </c>
      <c r="D141" s="3" t="s">
        <v>5</v>
      </c>
      <c r="E141" s="3">
        <v>3</v>
      </c>
      <c r="F141" s="280" t="s">
        <v>56</v>
      </c>
      <c r="G141" s="11" t="s">
        <v>192</v>
      </c>
      <c r="H141" s="83"/>
      <c r="I141" s="399"/>
      <c r="J141" s="400"/>
      <c r="K141" s="401"/>
      <c r="L141" s="83"/>
      <c r="M141" s="402"/>
      <c r="N141" s="54" t="s">
        <v>396</v>
      </c>
      <c r="O141" s="53" t="s">
        <v>581</v>
      </c>
      <c r="P141" s="12"/>
    </row>
    <row r="142" spans="1:16" ht="17">
      <c r="A142" s="3" t="s">
        <v>583</v>
      </c>
      <c r="B142" s="197" t="s">
        <v>6</v>
      </c>
      <c r="C142" s="3" t="s">
        <v>3</v>
      </c>
      <c r="D142" s="3" t="s">
        <v>5</v>
      </c>
      <c r="E142" s="3">
        <v>3</v>
      </c>
      <c r="F142" s="280" t="s">
        <v>56</v>
      </c>
      <c r="G142" s="11" t="s">
        <v>10</v>
      </c>
      <c r="H142" s="70">
        <v>13890282</v>
      </c>
      <c r="I142" s="363" t="s">
        <v>1516</v>
      </c>
      <c r="J142" s="70" t="s">
        <v>1517</v>
      </c>
      <c r="K142" s="71" t="s">
        <v>1518</v>
      </c>
      <c r="L142" s="70" t="s">
        <v>679</v>
      </c>
      <c r="M142" s="57" t="s">
        <v>292</v>
      </c>
      <c r="N142" s="54" t="s">
        <v>396</v>
      </c>
      <c r="O142" s="53" t="s">
        <v>581</v>
      </c>
      <c r="P142" s="88"/>
    </row>
    <row r="143" spans="1:16" ht="17">
      <c r="A143" s="3" t="s">
        <v>583</v>
      </c>
      <c r="B143" s="197" t="s">
        <v>6</v>
      </c>
      <c r="C143" s="3" t="s">
        <v>3</v>
      </c>
      <c r="D143" s="3" t="s">
        <v>5</v>
      </c>
      <c r="E143" s="3">
        <v>3</v>
      </c>
      <c r="F143" s="280" t="s">
        <v>57</v>
      </c>
      <c r="G143" s="11" t="s">
        <v>8</v>
      </c>
      <c r="H143" s="5" t="s">
        <v>433</v>
      </c>
      <c r="I143" s="66" t="s">
        <v>1505</v>
      </c>
      <c r="J143" s="5" t="s">
        <v>1519</v>
      </c>
      <c r="K143" s="66" t="s">
        <v>434</v>
      </c>
      <c r="L143" s="6" t="s">
        <v>679</v>
      </c>
      <c r="M143" s="53" t="s">
        <v>308</v>
      </c>
      <c r="N143" s="54" t="s">
        <v>396</v>
      </c>
      <c r="O143" s="53" t="s">
        <v>581</v>
      </c>
      <c r="P143" s="97"/>
    </row>
    <row r="144" spans="1:16" ht="17">
      <c r="A144" s="3" t="s">
        <v>583</v>
      </c>
      <c r="B144" s="197" t="s">
        <v>6</v>
      </c>
      <c r="C144" s="3" t="s">
        <v>3</v>
      </c>
      <c r="D144" s="3" t="s">
        <v>5</v>
      </c>
      <c r="E144" s="3">
        <v>3</v>
      </c>
      <c r="F144" s="280" t="s">
        <v>57</v>
      </c>
      <c r="G144" s="11" t="s">
        <v>9</v>
      </c>
      <c r="H144" s="5" t="s">
        <v>941</v>
      </c>
      <c r="I144" s="66" t="s">
        <v>791</v>
      </c>
      <c r="J144" s="5" t="s">
        <v>1520</v>
      </c>
      <c r="K144" s="66" t="s">
        <v>942</v>
      </c>
      <c r="L144" s="6" t="s">
        <v>679</v>
      </c>
      <c r="M144" s="53" t="s">
        <v>308</v>
      </c>
      <c r="N144" s="54" t="s">
        <v>396</v>
      </c>
      <c r="O144" s="53" t="s">
        <v>581</v>
      </c>
      <c r="P144" s="140" t="s">
        <v>943</v>
      </c>
    </row>
    <row r="145" spans="1:23" ht="17">
      <c r="A145" s="3" t="s">
        <v>583</v>
      </c>
      <c r="B145" s="197" t="s">
        <v>6</v>
      </c>
      <c r="C145" s="3" t="s">
        <v>3</v>
      </c>
      <c r="D145" s="3" t="s">
        <v>5</v>
      </c>
      <c r="E145" s="3">
        <v>3</v>
      </c>
      <c r="F145" s="280" t="s">
        <v>57</v>
      </c>
      <c r="G145" s="11" t="s">
        <v>10</v>
      </c>
      <c r="H145" s="5" t="s">
        <v>435</v>
      </c>
      <c r="I145" s="66" t="s">
        <v>1521</v>
      </c>
      <c r="J145" s="5" t="s">
        <v>232</v>
      </c>
      <c r="K145" s="134" t="s">
        <v>1522</v>
      </c>
      <c r="L145" s="6" t="s">
        <v>679</v>
      </c>
      <c r="M145" s="53" t="s">
        <v>308</v>
      </c>
      <c r="N145" s="54" t="s">
        <v>396</v>
      </c>
      <c r="O145" s="53" t="s">
        <v>581</v>
      </c>
      <c r="P145" s="12"/>
    </row>
    <row r="146" spans="1:23" ht="17">
      <c r="A146" s="3" t="s">
        <v>583</v>
      </c>
      <c r="B146" s="197" t="s">
        <v>6</v>
      </c>
      <c r="C146" s="3" t="s">
        <v>3</v>
      </c>
      <c r="D146" s="3" t="s">
        <v>5</v>
      </c>
      <c r="E146" s="3">
        <v>3</v>
      </c>
      <c r="F146" s="280" t="s">
        <v>58</v>
      </c>
      <c r="G146" s="11" t="s">
        <v>8</v>
      </c>
      <c r="H146" s="244">
        <v>12483624</v>
      </c>
      <c r="I146" s="298" t="s">
        <v>571</v>
      </c>
      <c r="J146" s="265" t="s">
        <v>1523</v>
      </c>
      <c r="K146" s="129" t="s">
        <v>1993</v>
      </c>
      <c r="L146" s="70" t="s">
        <v>679</v>
      </c>
      <c r="M146" s="62" t="s">
        <v>292</v>
      </c>
      <c r="N146" s="54" t="s">
        <v>396</v>
      </c>
      <c r="O146" s="53" t="s">
        <v>581</v>
      </c>
      <c r="P146" s="230"/>
    </row>
    <row r="147" spans="1:23" ht="17">
      <c r="A147" s="3" t="s">
        <v>583</v>
      </c>
      <c r="B147" s="197" t="s">
        <v>6</v>
      </c>
      <c r="C147" s="3" t="s">
        <v>3</v>
      </c>
      <c r="D147" s="3" t="s">
        <v>5</v>
      </c>
      <c r="E147" s="3">
        <v>3</v>
      </c>
      <c r="F147" s="280" t="s">
        <v>58</v>
      </c>
      <c r="G147" s="11" t="s">
        <v>9</v>
      </c>
      <c r="H147" s="244">
        <v>12483633</v>
      </c>
      <c r="I147" s="298" t="s">
        <v>571</v>
      </c>
      <c r="J147" s="266" t="s">
        <v>1524</v>
      </c>
      <c r="K147" s="129" t="s">
        <v>1994</v>
      </c>
      <c r="L147" s="70" t="s">
        <v>679</v>
      </c>
      <c r="M147" s="62" t="s">
        <v>292</v>
      </c>
      <c r="N147" s="54" t="s">
        <v>396</v>
      </c>
      <c r="O147" s="53" t="s">
        <v>581</v>
      </c>
      <c r="P147" s="230"/>
    </row>
    <row r="148" spans="1:23" ht="17">
      <c r="A148" s="3" t="s">
        <v>583</v>
      </c>
      <c r="B148" s="197" t="s">
        <v>6</v>
      </c>
      <c r="C148" s="3" t="s">
        <v>3</v>
      </c>
      <c r="D148" s="3" t="s">
        <v>5</v>
      </c>
      <c r="E148" s="3">
        <v>3</v>
      </c>
      <c r="F148" s="280" t="s">
        <v>58</v>
      </c>
      <c r="G148" s="11" t="s">
        <v>10</v>
      </c>
      <c r="H148" s="244">
        <v>12483731</v>
      </c>
      <c r="I148" s="298" t="s">
        <v>571</v>
      </c>
      <c r="J148" s="264" t="s">
        <v>1525</v>
      </c>
      <c r="K148" s="129" t="s">
        <v>1995</v>
      </c>
      <c r="L148" s="70" t="s">
        <v>679</v>
      </c>
      <c r="M148" s="62" t="s">
        <v>292</v>
      </c>
      <c r="N148" s="54" t="s">
        <v>396</v>
      </c>
      <c r="O148" s="53" t="s">
        <v>581</v>
      </c>
      <c r="P148" s="230"/>
    </row>
    <row r="149" spans="1:23" ht="15.75" customHeight="1">
      <c r="A149" s="3" t="s">
        <v>583</v>
      </c>
      <c r="B149" s="197" t="s">
        <v>6</v>
      </c>
      <c r="C149" s="3" t="s">
        <v>3</v>
      </c>
      <c r="D149" s="3" t="s">
        <v>5</v>
      </c>
      <c r="E149" s="3">
        <v>3</v>
      </c>
      <c r="F149" s="280" t="s">
        <v>59</v>
      </c>
      <c r="G149" s="11" t="s">
        <v>8</v>
      </c>
      <c r="H149" s="226">
        <v>13420374</v>
      </c>
      <c r="I149" s="72" t="s">
        <v>554</v>
      </c>
      <c r="J149" s="70" t="s">
        <v>603</v>
      </c>
      <c r="K149" s="198" t="s">
        <v>606</v>
      </c>
      <c r="L149" s="70" t="s">
        <v>679</v>
      </c>
      <c r="M149" s="62" t="s">
        <v>292</v>
      </c>
      <c r="N149" s="54" t="s">
        <v>396</v>
      </c>
      <c r="O149" s="53" t="s">
        <v>581</v>
      </c>
      <c r="P149" s="12"/>
    </row>
    <row r="150" spans="1:23" ht="17">
      <c r="A150" s="3" t="s">
        <v>583</v>
      </c>
      <c r="B150" s="197" t="s">
        <v>6</v>
      </c>
      <c r="C150" s="3" t="s">
        <v>3</v>
      </c>
      <c r="D150" s="3" t="s">
        <v>5</v>
      </c>
      <c r="E150" s="3">
        <v>3</v>
      </c>
      <c r="F150" s="280" t="s">
        <v>59</v>
      </c>
      <c r="G150" s="11" t="s">
        <v>9</v>
      </c>
      <c r="H150" s="70">
        <v>13391351</v>
      </c>
      <c r="I150" s="129" t="s">
        <v>944</v>
      </c>
      <c r="J150" s="56" t="s">
        <v>604</v>
      </c>
      <c r="K150" s="129" t="s">
        <v>691</v>
      </c>
      <c r="L150" s="70" t="s">
        <v>679</v>
      </c>
      <c r="M150" s="62" t="s">
        <v>292</v>
      </c>
      <c r="N150" s="54" t="s">
        <v>396</v>
      </c>
      <c r="O150" s="53" t="s">
        <v>581</v>
      </c>
      <c r="P150" s="12"/>
    </row>
    <row r="151" spans="1:23" ht="17">
      <c r="A151" s="3" t="s">
        <v>583</v>
      </c>
      <c r="B151" s="197" t="s">
        <v>6</v>
      </c>
      <c r="C151" s="3" t="s">
        <v>3</v>
      </c>
      <c r="D151" s="3" t="s">
        <v>5</v>
      </c>
      <c r="E151" s="3">
        <v>3</v>
      </c>
      <c r="F151" s="280" t="s">
        <v>59</v>
      </c>
      <c r="G151" s="11" t="s">
        <v>10</v>
      </c>
      <c r="H151" s="70">
        <v>13391404</v>
      </c>
      <c r="I151" s="129" t="s">
        <v>944</v>
      </c>
      <c r="J151" s="70" t="s">
        <v>605</v>
      </c>
      <c r="K151" s="225" t="s">
        <v>690</v>
      </c>
      <c r="L151" s="70" t="s">
        <v>679</v>
      </c>
      <c r="M151" s="62" t="s">
        <v>292</v>
      </c>
      <c r="N151" s="54" t="s">
        <v>396</v>
      </c>
      <c r="O151" s="53" t="s">
        <v>581</v>
      </c>
      <c r="P151" s="12"/>
    </row>
    <row r="152" spans="1:23" ht="17">
      <c r="A152" s="3" t="s">
        <v>583</v>
      </c>
      <c r="B152" s="197" t="s">
        <v>6</v>
      </c>
      <c r="C152" s="3" t="s">
        <v>3</v>
      </c>
      <c r="D152" s="3" t="s">
        <v>5</v>
      </c>
      <c r="E152" s="3">
        <v>3</v>
      </c>
      <c r="F152" s="280" t="s">
        <v>60</v>
      </c>
      <c r="G152" s="11" t="s">
        <v>8</v>
      </c>
      <c r="H152" s="244">
        <v>14890174</v>
      </c>
      <c r="I152" s="299" t="s">
        <v>1513</v>
      </c>
      <c r="J152" s="244" t="s">
        <v>945</v>
      </c>
      <c r="K152" s="129" t="s">
        <v>1996</v>
      </c>
      <c r="L152" s="70" t="s">
        <v>679</v>
      </c>
      <c r="M152" s="57" t="s">
        <v>233</v>
      </c>
      <c r="N152" s="54" t="s">
        <v>396</v>
      </c>
      <c r="O152" s="53" t="s">
        <v>581</v>
      </c>
      <c r="P152" s="12"/>
      <c r="Q152" s="391"/>
    </row>
    <row r="153" spans="1:23" ht="17">
      <c r="A153" s="3" t="s">
        <v>583</v>
      </c>
      <c r="B153" s="197" t="s">
        <v>6</v>
      </c>
      <c r="C153" s="3" t="s">
        <v>3</v>
      </c>
      <c r="D153" s="3" t="s">
        <v>5</v>
      </c>
      <c r="E153" s="3">
        <v>3</v>
      </c>
      <c r="F153" s="280" t="s">
        <v>60</v>
      </c>
      <c r="G153" s="11" t="s">
        <v>9</v>
      </c>
      <c r="H153" s="70">
        <v>13890203</v>
      </c>
      <c r="I153" s="362" t="s">
        <v>1516</v>
      </c>
      <c r="J153" s="70" t="s">
        <v>438</v>
      </c>
      <c r="K153" s="131" t="s">
        <v>574</v>
      </c>
      <c r="L153" s="70" t="s">
        <v>679</v>
      </c>
      <c r="M153" s="57" t="s">
        <v>233</v>
      </c>
      <c r="N153" s="54" t="s">
        <v>396</v>
      </c>
      <c r="O153" s="53" t="s">
        <v>581</v>
      </c>
      <c r="P153" s="12"/>
      <c r="R153" s="85"/>
      <c r="S153" s="107"/>
      <c r="T153" s="85"/>
      <c r="U153" s="108"/>
      <c r="V153" s="104"/>
      <c r="W153" s="109"/>
    </row>
    <row r="154" spans="1:23" ht="17">
      <c r="A154" s="3" t="s">
        <v>583</v>
      </c>
      <c r="B154" s="197" t="s">
        <v>6</v>
      </c>
      <c r="C154" s="3" t="s">
        <v>3</v>
      </c>
      <c r="D154" s="3" t="s">
        <v>5</v>
      </c>
      <c r="E154" s="3">
        <v>3</v>
      </c>
      <c r="F154" s="280" t="s">
        <v>60</v>
      </c>
      <c r="G154" s="11" t="s">
        <v>10</v>
      </c>
      <c r="H154" s="70">
        <v>13590375</v>
      </c>
      <c r="I154" s="362" t="s">
        <v>1526</v>
      </c>
      <c r="J154" s="70" t="s">
        <v>437</v>
      </c>
      <c r="K154" s="72" t="s">
        <v>565</v>
      </c>
      <c r="L154" s="70" t="s">
        <v>679</v>
      </c>
      <c r="M154" s="57" t="s">
        <v>233</v>
      </c>
      <c r="N154" s="54" t="s">
        <v>396</v>
      </c>
      <c r="O154" s="53" t="s">
        <v>581</v>
      </c>
      <c r="P154" s="12"/>
    </row>
    <row r="155" spans="1:23" ht="19.5" customHeight="1">
      <c r="A155" s="3" t="s">
        <v>583</v>
      </c>
      <c r="B155" s="197" t="s">
        <v>6</v>
      </c>
      <c r="C155" s="3" t="s">
        <v>3</v>
      </c>
      <c r="D155" s="3" t="s">
        <v>5</v>
      </c>
      <c r="E155" s="3">
        <v>3</v>
      </c>
      <c r="F155" s="280" t="s">
        <v>61</v>
      </c>
      <c r="G155" s="11" t="s">
        <v>8</v>
      </c>
      <c r="H155" s="244">
        <v>12483704</v>
      </c>
      <c r="I155" s="298" t="s">
        <v>571</v>
      </c>
      <c r="J155" s="264" t="s">
        <v>946</v>
      </c>
      <c r="K155" s="131" t="s">
        <v>1997</v>
      </c>
      <c r="L155" s="70" t="s">
        <v>679</v>
      </c>
      <c r="M155" s="70" t="s">
        <v>292</v>
      </c>
      <c r="N155" s="54" t="s">
        <v>396</v>
      </c>
      <c r="O155" s="53" t="s">
        <v>581</v>
      </c>
      <c r="P155" s="12"/>
    </row>
    <row r="156" spans="1:23" ht="17">
      <c r="A156" s="3" t="s">
        <v>583</v>
      </c>
      <c r="B156" s="197" t="s">
        <v>6</v>
      </c>
      <c r="C156" s="3" t="s">
        <v>3</v>
      </c>
      <c r="D156" s="3" t="s">
        <v>5</v>
      </c>
      <c r="E156" s="3">
        <v>3</v>
      </c>
      <c r="F156" s="280" t="s">
        <v>61</v>
      </c>
      <c r="G156" s="11" t="s">
        <v>9</v>
      </c>
      <c r="H156" s="70">
        <v>13391155</v>
      </c>
      <c r="I156" s="270" t="s">
        <v>944</v>
      </c>
      <c r="J156" s="70" t="s">
        <v>575</v>
      </c>
      <c r="K156" s="129" t="s">
        <v>692</v>
      </c>
      <c r="L156" s="70" t="s">
        <v>679</v>
      </c>
      <c r="M156" s="70" t="s">
        <v>292</v>
      </c>
      <c r="N156" s="54" t="s">
        <v>396</v>
      </c>
      <c r="O156" s="53" t="s">
        <v>581</v>
      </c>
      <c r="P156" s="12"/>
    </row>
    <row r="157" spans="1:23" ht="17">
      <c r="A157" s="3" t="s">
        <v>583</v>
      </c>
      <c r="B157" s="197" t="s">
        <v>6</v>
      </c>
      <c r="C157" s="3" t="s">
        <v>3</v>
      </c>
      <c r="D157" s="3" t="s">
        <v>5</v>
      </c>
      <c r="E157" s="3">
        <v>3</v>
      </c>
      <c r="F157" s="280" t="s">
        <v>61</v>
      </c>
      <c r="G157" s="11" t="s">
        <v>10</v>
      </c>
      <c r="H157" s="70">
        <v>13391201</v>
      </c>
      <c r="I157" s="317" t="s">
        <v>944</v>
      </c>
      <c r="J157" s="70" t="s">
        <v>577</v>
      </c>
      <c r="K157" s="129" t="s">
        <v>598</v>
      </c>
      <c r="L157" s="70" t="s">
        <v>679</v>
      </c>
      <c r="M157" s="62" t="s">
        <v>292</v>
      </c>
      <c r="N157" s="54" t="s">
        <v>396</v>
      </c>
      <c r="O157" s="53" t="s">
        <v>581</v>
      </c>
      <c r="P157" s="12"/>
    </row>
    <row r="158" spans="1:23" ht="17">
      <c r="A158" s="3" t="s">
        <v>583</v>
      </c>
      <c r="B158" s="197" t="s">
        <v>6</v>
      </c>
      <c r="C158" s="3" t="s">
        <v>3</v>
      </c>
      <c r="D158" s="3" t="s">
        <v>5</v>
      </c>
      <c r="E158" s="3">
        <v>3</v>
      </c>
      <c r="F158" s="280" t="s">
        <v>62</v>
      </c>
      <c r="G158" s="11" t="s">
        <v>8</v>
      </c>
      <c r="H158" s="244">
        <v>14890352</v>
      </c>
      <c r="I158" s="298" t="s">
        <v>1513</v>
      </c>
      <c r="J158" s="266" t="s">
        <v>1527</v>
      </c>
      <c r="K158" s="129"/>
      <c r="L158" s="70" t="s">
        <v>679</v>
      </c>
      <c r="M158" s="62" t="s">
        <v>292</v>
      </c>
      <c r="N158" s="54" t="s">
        <v>396</v>
      </c>
      <c r="O158" s="53" t="s">
        <v>581</v>
      </c>
      <c r="P158" s="12"/>
    </row>
    <row r="159" spans="1:23" ht="17">
      <c r="A159" s="3" t="s">
        <v>583</v>
      </c>
      <c r="B159" s="197" t="s">
        <v>6</v>
      </c>
      <c r="C159" s="3" t="s">
        <v>3</v>
      </c>
      <c r="D159" s="3" t="s">
        <v>5</v>
      </c>
      <c r="E159" s="3">
        <v>3</v>
      </c>
      <c r="F159" s="280" t="s">
        <v>62</v>
      </c>
      <c r="G159" s="11" t="s">
        <v>9</v>
      </c>
      <c r="H159" s="244">
        <v>12483722</v>
      </c>
      <c r="I159" s="298" t="s">
        <v>571</v>
      </c>
      <c r="J159" s="264" t="s">
        <v>1528</v>
      </c>
      <c r="K159" s="131" t="s">
        <v>1998</v>
      </c>
      <c r="L159" s="70" t="s">
        <v>679</v>
      </c>
      <c r="M159" s="62" t="s">
        <v>292</v>
      </c>
      <c r="N159" s="54" t="s">
        <v>396</v>
      </c>
      <c r="O159" s="53" t="s">
        <v>581</v>
      </c>
      <c r="P159" s="248" t="s">
        <v>1529</v>
      </c>
    </row>
    <row r="160" spans="1:23" ht="17">
      <c r="A160" s="3" t="s">
        <v>583</v>
      </c>
      <c r="B160" s="197" t="s">
        <v>6</v>
      </c>
      <c r="C160" s="3" t="s">
        <v>3</v>
      </c>
      <c r="D160" s="3" t="s">
        <v>5</v>
      </c>
      <c r="E160" s="3">
        <v>3</v>
      </c>
      <c r="F160" s="280" t="s">
        <v>62</v>
      </c>
      <c r="G160" s="11" t="s">
        <v>10</v>
      </c>
      <c r="H160" s="70">
        <v>14590215</v>
      </c>
      <c r="I160" s="389" t="s">
        <v>2076</v>
      </c>
      <c r="J160" s="390" t="s">
        <v>2077</v>
      </c>
      <c r="K160" s="339" t="s">
        <v>2078</v>
      </c>
      <c r="L160" s="70" t="s">
        <v>679</v>
      </c>
      <c r="M160" s="62" t="s">
        <v>1534</v>
      </c>
      <c r="N160" s="84" t="s">
        <v>396</v>
      </c>
      <c r="O160" s="53" t="s">
        <v>581</v>
      </c>
      <c r="P160" s="66"/>
    </row>
    <row r="161" spans="1:22" s="289" customFormat="1" ht="19.5" customHeight="1">
      <c r="A161" s="3" t="s">
        <v>583</v>
      </c>
      <c r="B161" s="197" t="s">
        <v>6</v>
      </c>
      <c r="C161" s="3" t="s">
        <v>3</v>
      </c>
      <c r="D161" s="3" t="s">
        <v>5</v>
      </c>
      <c r="E161" s="3">
        <v>3</v>
      </c>
      <c r="F161" s="280" t="s">
        <v>63</v>
      </c>
      <c r="G161" s="11" t="s">
        <v>8</v>
      </c>
      <c r="H161" s="244">
        <v>14890192</v>
      </c>
      <c r="I161" s="299" t="s">
        <v>1513</v>
      </c>
      <c r="J161" s="264" t="s">
        <v>1531</v>
      </c>
      <c r="K161" s="336" t="s">
        <v>947</v>
      </c>
      <c r="L161" s="70" t="s">
        <v>679</v>
      </c>
      <c r="M161" s="70" t="s">
        <v>1532</v>
      </c>
      <c r="N161" s="77" t="s">
        <v>396</v>
      </c>
      <c r="O161" s="6" t="s">
        <v>581</v>
      </c>
      <c r="P161" s="77" t="s">
        <v>947</v>
      </c>
      <c r="Q161" s="119"/>
    </row>
    <row r="162" spans="1:22" ht="17.25" customHeight="1">
      <c r="A162" s="3" t="s">
        <v>583</v>
      </c>
      <c r="B162" s="197" t="s">
        <v>6</v>
      </c>
      <c r="C162" s="3" t="s">
        <v>3</v>
      </c>
      <c r="D162" s="3" t="s">
        <v>5</v>
      </c>
      <c r="E162" s="3">
        <v>3</v>
      </c>
      <c r="F162" s="279" t="s">
        <v>63</v>
      </c>
      <c r="G162" s="3" t="s">
        <v>9</v>
      </c>
      <c r="H162" s="244">
        <v>14890165</v>
      </c>
      <c r="I162" s="298" t="s">
        <v>1513</v>
      </c>
      <c r="J162" s="267" t="s">
        <v>1533</v>
      </c>
      <c r="K162" s="225"/>
      <c r="L162" s="70" t="s">
        <v>679</v>
      </c>
      <c r="M162" s="62" t="s">
        <v>1534</v>
      </c>
      <c r="N162" s="54" t="s">
        <v>396</v>
      </c>
      <c r="O162" s="53" t="s">
        <v>581</v>
      </c>
      <c r="P162" s="12"/>
    </row>
    <row r="163" spans="1:22" ht="17">
      <c r="A163" s="3" t="s">
        <v>583</v>
      </c>
      <c r="B163" s="197" t="s">
        <v>6</v>
      </c>
      <c r="C163" s="3" t="s">
        <v>3</v>
      </c>
      <c r="D163" s="3" t="s">
        <v>5</v>
      </c>
      <c r="E163" s="3">
        <v>3</v>
      </c>
      <c r="F163" s="279" t="s">
        <v>63</v>
      </c>
      <c r="G163" s="3" t="s">
        <v>10</v>
      </c>
      <c r="H163" s="53">
        <v>14180314</v>
      </c>
      <c r="I163" s="54" t="s">
        <v>1864</v>
      </c>
      <c r="J163" s="6" t="s">
        <v>1865</v>
      </c>
      <c r="K163" s="67" t="s">
        <v>1866</v>
      </c>
      <c r="L163" s="6" t="s">
        <v>679</v>
      </c>
      <c r="M163" s="53" t="s">
        <v>308</v>
      </c>
      <c r="N163" s="54" t="s">
        <v>396</v>
      </c>
      <c r="O163" s="1" t="s">
        <v>582</v>
      </c>
      <c r="P163" s="21"/>
    </row>
    <row r="164" spans="1:22" ht="16.5" customHeight="1">
      <c r="A164" s="3" t="s">
        <v>583</v>
      </c>
      <c r="B164" s="197" t="s">
        <v>6</v>
      </c>
      <c r="C164" s="3" t="s">
        <v>3</v>
      </c>
      <c r="D164" s="3" t="s">
        <v>5</v>
      </c>
      <c r="E164" s="3">
        <v>3</v>
      </c>
      <c r="F164" s="279" t="s">
        <v>64</v>
      </c>
      <c r="G164" s="3" t="s">
        <v>8</v>
      </c>
      <c r="H164" s="5" t="s">
        <v>333</v>
      </c>
      <c r="I164" s="73" t="s">
        <v>948</v>
      </c>
      <c r="J164" s="6" t="s">
        <v>334</v>
      </c>
      <c r="K164" s="245" t="s">
        <v>439</v>
      </c>
      <c r="L164" s="6" t="s">
        <v>679</v>
      </c>
      <c r="M164" s="53" t="s">
        <v>308</v>
      </c>
      <c r="N164" s="54" t="s">
        <v>396</v>
      </c>
      <c r="O164" s="1" t="s">
        <v>582</v>
      </c>
      <c r="P164" s="1"/>
    </row>
    <row r="165" spans="1:22" ht="17">
      <c r="A165" s="3" t="s">
        <v>583</v>
      </c>
      <c r="B165" s="197" t="s">
        <v>6</v>
      </c>
      <c r="C165" s="3" t="s">
        <v>3</v>
      </c>
      <c r="D165" s="3" t="s">
        <v>5</v>
      </c>
      <c r="E165" s="3">
        <v>3</v>
      </c>
      <c r="F165" s="279" t="s">
        <v>64</v>
      </c>
      <c r="G165" s="3" t="s">
        <v>9</v>
      </c>
      <c r="H165" s="5" t="s">
        <v>949</v>
      </c>
      <c r="I165" s="66" t="s">
        <v>791</v>
      </c>
      <c r="J165" s="5" t="s">
        <v>950</v>
      </c>
      <c r="K165" s="66" t="s">
        <v>951</v>
      </c>
      <c r="L165" s="6" t="s">
        <v>679</v>
      </c>
      <c r="M165" s="53" t="s">
        <v>308</v>
      </c>
      <c r="N165" s="54" t="s">
        <v>396</v>
      </c>
      <c r="O165" s="1" t="s">
        <v>582</v>
      </c>
      <c r="P165" s="140" t="s">
        <v>952</v>
      </c>
    </row>
    <row r="166" spans="1:22" ht="18.75" customHeight="1">
      <c r="A166" s="3" t="s">
        <v>583</v>
      </c>
      <c r="B166" s="197" t="s">
        <v>6</v>
      </c>
      <c r="C166" s="3" t="s">
        <v>3</v>
      </c>
      <c r="D166" s="3" t="s">
        <v>5</v>
      </c>
      <c r="E166" s="3">
        <v>3</v>
      </c>
      <c r="F166" s="279" t="s">
        <v>64</v>
      </c>
      <c r="G166" s="3" t="s">
        <v>10</v>
      </c>
      <c r="H166" s="5" t="s">
        <v>389</v>
      </c>
      <c r="I166" s="73" t="s">
        <v>1535</v>
      </c>
      <c r="J166" s="6" t="s">
        <v>390</v>
      </c>
      <c r="K166" s="66" t="s">
        <v>391</v>
      </c>
      <c r="L166" s="6" t="s">
        <v>679</v>
      </c>
      <c r="M166" s="53" t="s">
        <v>308</v>
      </c>
      <c r="N166" s="54" t="s">
        <v>396</v>
      </c>
      <c r="O166" s="1" t="s">
        <v>582</v>
      </c>
      <c r="P166" s="1"/>
    </row>
    <row r="167" spans="1:22" ht="17">
      <c r="A167" s="3" t="s">
        <v>583</v>
      </c>
      <c r="B167" s="197" t="s">
        <v>6</v>
      </c>
      <c r="C167" s="3" t="s">
        <v>3</v>
      </c>
      <c r="D167" s="3" t="s">
        <v>5</v>
      </c>
      <c r="E167" s="3">
        <v>3</v>
      </c>
      <c r="F167" s="279" t="s">
        <v>65</v>
      </c>
      <c r="G167" s="3" t="s">
        <v>8</v>
      </c>
      <c r="H167" s="70">
        <v>14391172</v>
      </c>
      <c r="I167" s="388" t="s">
        <v>1511</v>
      </c>
      <c r="J167" s="70" t="s">
        <v>1512</v>
      </c>
      <c r="K167" s="339"/>
      <c r="L167" s="70"/>
      <c r="M167" s="62" t="s">
        <v>292</v>
      </c>
      <c r="N167" s="130" t="s">
        <v>396</v>
      </c>
      <c r="O167" s="1" t="s">
        <v>581</v>
      </c>
      <c r="P167" s="331"/>
      <c r="R167" s="85"/>
      <c r="S167" s="337"/>
      <c r="T167" s="85"/>
    </row>
    <row r="168" spans="1:22" ht="17">
      <c r="A168" s="3" t="s">
        <v>583</v>
      </c>
      <c r="B168" s="197" t="s">
        <v>6</v>
      </c>
      <c r="C168" s="3" t="s">
        <v>3</v>
      </c>
      <c r="D168" s="3" t="s">
        <v>5</v>
      </c>
      <c r="E168" s="3">
        <v>3</v>
      </c>
      <c r="F168" s="279" t="s">
        <v>65</v>
      </c>
      <c r="G168" s="3" t="s">
        <v>9</v>
      </c>
      <c r="H168" s="70">
        <v>10480286</v>
      </c>
      <c r="I168" s="300" t="s">
        <v>432</v>
      </c>
      <c r="J168" s="56" t="s">
        <v>677</v>
      </c>
      <c r="K168" s="131" t="s">
        <v>1999</v>
      </c>
      <c r="L168" s="70" t="s">
        <v>679</v>
      </c>
      <c r="M168" s="62" t="s">
        <v>687</v>
      </c>
      <c r="N168" s="54" t="s">
        <v>396</v>
      </c>
      <c r="O168" s="53" t="s">
        <v>581</v>
      </c>
      <c r="P168" s="12"/>
      <c r="R168" s="85"/>
      <c r="S168" s="190"/>
      <c r="T168" s="191"/>
    </row>
    <row r="169" spans="1:22" ht="17">
      <c r="A169" s="3" t="s">
        <v>583</v>
      </c>
      <c r="B169" s="197" t="s">
        <v>6</v>
      </c>
      <c r="C169" s="3" t="s">
        <v>3</v>
      </c>
      <c r="D169" s="3" t="s">
        <v>5</v>
      </c>
      <c r="E169" s="3">
        <v>3</v>
      </c>
      <c r="F169" s="279" t="s">
        <v>65</v>
      </c>
      <c r="G169" s="3" t="s">
        <v>10</v>
      </c>
      <c r="H169" s="246">
        <v>12601121</v>
      </c>
      <c r="I169" s="247" t="s">
        <v>1536</v>
      </c>
      <c r="J169" s="246" t="s">
        <v>1537</v>
      </c>
      <c r="K169" s="242" t="s">
        <v>1538</v>
      </c>
      <c r="L169" s="70" t="s">
        <v>679</v>
      </c>
      <c r="M169" s="70" t="s">
        <v>293</v>
      </c>
      <c r="N169" s="54" t="s">
        <v>396</v>
      </c>
      <c r="O169" s="53" t="s">
        <v>581</v>
      </c>
      <c r="P169" s="3"/>
    </row>
    <row r="170" spans="1:22" ht="17">
      <c r="A170" s="3" t="s">
        <v>583</v>
      </c>
      <c r="B170" s="197" t="s">
        <v>6</v>
      </c>
      <c r="C170" s="3" t="s">
        <v>3</v>
      </c>
      <c r="D170" s="3" t="s">
        <v>5</v>
      </c>
      <c r="E170" s="3">
        <v>3</v>
      </c>
      <c r="F170" s="279" t="s">
        <v>66</v>
      </c>
      <c r="G170" s="3" t="s">
        <v>8</v>
      </c>
      <c r="H170" s="5" t="s">
        <v>956</v>
      </c>
      <c r="I170" s="66" t="s">
        <v>259</v>
      </c>
      <c r="J170" s="5" t="s">
        <v>957</v>
      </c>
      <c r="K170" s="68" t="s">
        <v>959</v>
      </c>
      <c r="L170" s="6" t="s">
        <v>679</v>
      </c>
      <c r="M170" s="53" t="s">
        <v>308</v>
      </c>
      <c r="N170" s="54" t="s">
        <v>396</v>
      </c>
      <c r="O170" s="1" t="s">
        <v>582</v>
      </c>
      <c r="P170" s="140" t="s">
        <v>958</v>
      </c>
      <c r="Q170" s="180"/>
      <c r="R170" s="119"/>
    </row>
    <row r="171" spans="1:22" ht="17">
      <c r="A171" s="3" t="s">
        <v>583</v>
      </c>
      <c r="B171" s="197" t="s">
        <v>6</v>
      </c>
      <c r="C171" s="3" t="s">
        <v>3</v>
      </c>
      <c r="D171" s="3" t="s">
        <v>5</v>
      </c>
      <c r="E171" s="3">
        <v>3</v>
      </c>
      <c r="F171" s="279" t="s">
        <v>66</v>
      </c>
      <c r="G171" s="3" t="s">
        <v>9</v>
      </c>
      <c r="H171" s="5" t="s">
        <v>963</v>
      </c>
      <c r="I171" s="66" t="s">
        <v>260</v>
      </c>
      <c r="J171" s="5" t="s">
        <v>964</v>
      </c>
      <c r="K171" s="68" t="s">
        <v>1925</v>
      </c>
      <c r="L171" s="6" t="s">
        <v>679</v>
      </c>
      <c r="M171" s="53" t="s">
        <v>308</v>
      </c>
      <c r="N171" s="54" t="s">
        <v>396</v>
      </c>
      <c r="O171" s="1" t="s">
        <v>582</v>
      </c>
      <c r="P171" s="140" t="s">
        <v>965</v>
      </c>
      <c r="Q171" s="394"/>
    </row>
    <row r="172" spans="1:22" ht="17">
      <c r="A172" s="3" t="s">
        <v>583</v>
      </c>
      <c r="B172" s="197" t="s">
        <v>6</v>
      </c>
      <c r="C172" s="3" t="s">
        <v>3</v>
      </c>
      <c r="D172" s="3" t="s">
        <v>5</v>
      </c>
      <c r="E172" s="3">
        <v>3</v>
      </c>
      <c r="F172" s="279" t="s">
        <v>66</v>
      </c>
      <c r="G172" s="3" t="s">
        <v>10</v>
      </c>
      <c r="H172" s="5" t="s">
        <v>960</v>
      </c>
      <c r="I172" s="66" t="s">
        <v>275</v>
      </c>
      <c r="J172" s="5" t="s">
        <v>961</v>
      </c>
      <c r="K172" s="68" t="s">
        <v>962</v>
      </c>
      <c r="L172" s="6" t="s">
        <v>679</v>
      </c>
      <c r="M172" s="53" t="s">
        <v>308</v>
      </c>
      <c r="N172" s="54" t="s">
        <v>396</v>
      </c>
      <c r="O172" s="1" t="s">
        <v>582</v>
      </c>
      <c r="P172" s="353" t="s">
        <v>1932</v>
      </c>
    </row>
    <row r="173" spans="1:22" ht="16.5" customHeight="1">
      <c r="A173" s="3" t="s">
        <v>583</v>
      </c>
      <c r="B173" s="197" t="s">
        <v>6</v>
      </c>
      <c r="C173" s="3" t="s">
        <v>3</v>
      </c>
      <c r="D173" s="3" t="s">
        <v>5</v>
      </c>
      <c r="E173" s="3">
        <v>3</v>
      </c>
      <c r="F173" s="279" t="s">
        <v>67</v>
      </c>
      <c r="G173" s="3" t="s">
        <v>8</v>
      </c>
      <c r="H173" s="5" t="s">
        <v>966</v>
      </c>
      <c r="I173" s="66" t="s">
        <v>260</v>
      </c>
      <c r="J173" s="5" t="s">
        <v>967</v>
      </c>
      <c r="K173" s="68" t="s">
        <v>1926</v>
      </c>
      <c r="L173" s="6" t="s">
        <v>679</v>
      </c>
      <c r="M173" s="53" t="s">
        <v>308</v>
      </c>
      <c r="N173" s="54" t="s">
        <v>396</v>
      </c>
      <c r="O173" s="1" t="s">
        <v>582</v>
      </c>
      <c r="P173" s="140" t="s">
        <v>968</v>
      </c>
      <c r="R173" s="85"/>
      <c r="S173" s="119"/>
      <c r="T173" s="85"/>
      <c r="U173" s="85"/>
      <c r="V173" s="85"/>
    </row>
    <row r="174" spans="1:22" ht="17">
      <c r="A174" s="3" t="s">
        <v>583</v>
      </c>
      <c r="B174" s="197" t="s">
        <v>6</v>
      </c>
      <c r="C174" s="3" t="s">
        <v>3</v>
      </c>
      <c r="D174" s="3" t="s">
        <v>5</v>
      </c>
      <c r="E174" s="3">
        <v>3</v>
      </c>
      <c r="F174" s="279" t="s">
        <v>67</v>
      </c>
      <c r="G174" s="3" t="s">
        <v>9</v>
      </c>
      <c r="H174" s="6">
        <v>14400590</v>
      </c>
      <c r="I174" s="73" t="s">
        <v>1541</v>
      </c>
      <c r="J174" s="6" t="s">
        <v>1542</v>
      </c>
      <c r="K174" s="67" t="s">
        <v>1543</v>
      </c>
      <c r="L174" s="6" t="s">
        <v>679</v>
      </c>
      <c r="M174" s="53" t="s">
        <v>308</v>
      </c>
      <c r="N174" s="54" t="s">
        <v>396</v>
      </c>
      <c r="O174" s="1" t="s">
        <v>582</v>
      </c>
      <c r="P174" s="140"/>
    </row>
    <row r="175" spans="1:22" ht="17.25" customHeight="1">
      <c r="A175" s="3" t="s">
        <v>583</v>
      </c>
      <c r="B175" s="197" t="s">
        <v>6</v>
      </c>
      <c r="C175" s="3" t="s">
        <v>3</v>
      </c>
      <c r="D175" s="3" t="s">
        <v>5</v>
      </c>
      <c r="E175" s="3">
        <v>3</v>
      </c>
      <c r="F175" s="279" t="s">
        <v>67</v>
      </c>
      <c r="G175" s="3" t="s">
        <v>10</v>
      </c>
      <c r="H175" s="5" t="s">
        <v>969</v>
      </c>
      <c r="I175" s="66" t="s">
        <v>970</v>
      </c>
      <c r="J175" s="5" t="s">
        <v>971</v>
      </c>
      <c r="K175" s="68" t="s">
        <v>972</v>
      </c>
      <c r="L175" s="6" t="s">
        <v>679</v>
      </c>
      <c r="M175" s="53" t="s">
        <v>308</v>
      </c>
      <c r="N175" s="54" t="s">
        <v>396</v>
      </c>
      <c r="O175" s="1" t="s">
        <v>582</v>
      </c>
      <c r="P175" s="140" t="s">
        <v>973</v>
      </c>
    </row>
    <row r="176" spans="1:22" ht="17">
      <c r="A176" s="3" t="s">
        <v>583</v>
      </c>
      <c r="B176" s="197" t="s">
        <v>6</v>
      </c>
      <c r="C176" s="3" t="s">
        <v>3</v>
      </c>
      <c r="D176" s="3" t="s">
        <v>5</v>
      </c>
      <c r="E176" s="3">
        <v>3</v>
      </c>
      <c r="F176" s="279" t="s">
        <v>68</v>
      </c>
      <c r="G176" s="3" t="s">
        <v>8</v>
      </c>
      <c r="H176" s="5">
        <v>11080892</v>
      </c>
      <c r="I176" s="66" t="s">
        <v>974</v>
      </c>
      <c r="J176" s="5" t="s">
        <v>351</v>
      </c>
      <c r="K176" s="66" t="s">
        <v>352</v>
      </c>
      <c r="L176" s="6" t="s">
        <v>679</v>
      </c>
      <c r="M176" s="53" t="s">
        <v>308</v>
      </c>
      <c r="N176" s="54" t="s">
        <v>396</v>
      </c>
      <c r="O176" s="1" t="s">
        <v>582</v>
      </c>
      <c r="P176" s="140"/>
    </row>
    <row r="177" spans="1:16" ht="17">
      <c r="A177" s="3" t="s">
        <v>583</v>
      </c>
      <c r="B177" s="197" t="s">
        <v>6</v>
      </c>
      <c r="C177" s="3" t="s">
        <v>3</v>
      </c>
      <c r="D177" s="3" t="s">
        <v>5</v>
      </c>
      <c r="E177" s="3">
        <v>3</v>
      </c>
      <c r="F177" s="279" t="s">
        <v>68</v>
      </c>
      <c r="G177" s="3" t="s">
        <v>9</v>
      </c>
      <c r="H177" s="69" t="s">
        <v>975</v>
      </c>
      <c r="I177" s="133" t="s">
        <v>976</v>
      </c>
      <c r="J177" s="69" t="s">
        <v>977</v>
      </c>
      <c r="K177" s="66" t="s">
        <v>1544</v>
      </c>
      <c r="L177" s="6" t="s">
        <v>679</v>
      </c>
      <c r="M177" s="53" t="s">
        <v>308</v>
      </c>
      <c r="N177" s="54" t="s">
        <v>396</v>
      </c>
      <c r="O177" s="1" t="s">
        <v>582</v>
      </c>
      <c r="P177" s="140"/>
    </row>
    <row r="178" spans="1:16" ht="17">
      <c r="A178" s="3" t="s">
        <v>583</v>
      </c>
      <c r="B178" s="197" t="s">
        <v>6</v>
      </c>
      <c r="C178" s="3" t="s">
        <v>3</v>
      </c>
      <c r="D178" s="3" t="s">
        <v>5</v>
      </c>
      <c r="E178" s="3">
        <v>3</v>
      </c>
      <c r="F178" s="279" t="s">
        <v>68</v>
      </c>
      <c r="G178" s="3" t="s">
        <v>10</v>
      </c>
      <c r="H178" s="5" t="s">
        <v>445</v>
      </c>
      <c r="I178" s="66" t="s">
        <v>1545</v>
      </c>
      <c r="J178" s="5" t="s">
        <v>446</v>
      </c>
      <c r="K178" s="66" t="s">
        <v>447</v>
      </c>
      <c r="L178" s="6" t="s">
        <v>679</v>
      </c>
      <c r="M178" s="53" t="s">
        <v>308</v>
      </c>
      <c r="N178" s="54" t="s">
        <v>396</v>
      </c>
      <c r="O178" s="1" t="s">
        <v>582</v>
      </c>
      <c r="P178" s="1"/>
    </row>
    <row r="179" spans="1:16" ht="17">
      <c r="A179" s="3" t="s">
        <v>583</v>
      </c>
      <c r="B179" s="197" t="s">
        <v>6</v>
      </c>
      <c r="C179" s="3" t="s">
        <v>3</v>
      </c>
      <c r="D179" s="3" t="s">
        <v>5</v>
      </c>
      <c r="E179" s="3">
        <v>3</v>
      </c>
      <c r="F179" s="279" t="s">
        <v>69</v>
      </c>
      <c r="G179" s="3" t="s">
        <v>8</v>
      </c>
      <c r="H179" s="5" t="s">
        <v>340</v>
      </c>
      <c r="I179" s="66" t="s">
        <v>978</v>
      </c>
      <c r="J179" s="6" t="s">
        <v>341</v>
      </c>
      <c r="K179" s="81" t="s">
        <v>342</v>
      </c>
      <c r="L179" s="6" t="s">
        <v>679</v>
      </c>
      <c r="M179" s="53" t="s">
        <v>308</v>
      </c>
      <c r="N179" s="54" t="s">
        <v>396</v>
      </c>
      <c r="O179" s="1" t="s">
        <v>582</v>
      </c>
      <c r="P179" s="1"/>
    </row>
    <row r="180" spans="1:16" ht="17">
      <c r="A180" s="3" t="s">
        <v>583</v>
      </c>
      <c r="B180" s="197" t="s">
        <v>6</v>
      </c>
      <c r="C180" s="3" t="s">
        <v>3</v>
      </c>
      <c r="D180" s="3" t="s">
        <v>5</v>
      </c>
      <c r="E180" s="3">
        <v>3</v>
      </c>
      <c r="F180" s="279" t="s">
        <v>69</v>
      </c>
      <c r="G180" s="3" t="s">
        <v>9</v>
      </c>
      <c r="H180" s="69" t="s">
        <v>979</v>
      </c>
      <c r="I180" s="66" t="s">
        <v>403</v>
      </c>
      <c r="J180" s="69" t="s">
        <v>980</v>
      </c>
      <c r="K180" s="81" t="s">
        <v>1915</v>
      </c>
      <c r="L180" s="6" t="s">
        <v>679</v>
      </c>
      <c r="M180" s="53" t="s">
        <v>308</v>
      </c>
      <c r="N180" s="54" t="s">
        <v>396</v>
      </c>
      <c r="O180" s="1" t="s">
        <v>582</v>
      </c>
      <c r="P180" s="1"/>
    </row>
    <row r="181" spans="1:16" ht="17">
      <c r="A181" s="3" t="s">
        <v>583</v>
      </c>
      <c r="B181" s="197" t="s">
        <v>6</v>
      </c>
      <c r="C181" s="3" t="s">
        <v>3</v>
      </c>
      <c r="D181" s="3" t="s">
        <v>5</v>
      </c>
      <c r="E181" s="3">
        <v>3</v>
      </c>
      <c r="F181" s="279" t="s">
        <v>69</v>
      </c>
      <c r="G181" s="3" t="s">
        <v>10</v>
      </c>
      <c r="H181" s="5" t="s">
        <v>335</v>
      </c>
      <c r="I181" s="133" t="s">
        <v>981</v>
      </c>
      <c r="J181" s="6" t="s">
        <v>336</v>
      </c>
      <c r="K181" s="134" t="s">
        <v>386</v>
      </c>
      <c r="L181" s="6" t="s">
        <v>679</v>
      </c>
      <c r="M181" s="53" t="s">
        <v>308</v>
      </c>
      <c r="N181" s="54" t="s">
        <v>396</v>
      </c>
      <c r="O181" s="1" t="s">
        <v>582</v>
      </c>
      <c r="P181" s="1"/>
    </row>
    <row r="182" spans="1:16" ht="17">
      <c r="A182" s="3" t="s">
        <v>583</v>
      </c>
      <c r="B182" s="197" t="s">
        <v>6</v>
      </c>
      <c r="C182" s="3" t="s">
        <v>3</v>
      </c>
      <c r="D182" s="3" t="s">
        <v>5</v>
      </c>
      <c r="E182" s="3">
        <v>3</v>
      </c>
      <c r="F182" s="279" t="s">
        <v>70</v>
      </c>
      <c r="G182" s="3" t="s">
        <v>8</v>
      </c>
      <c r="H182" s="115" t="s">
        <v>1546</v>
      </c>
      <c r="I182" s="269" t="s">
        <v>1547</v>
      </c>
      <c r="J182" s="184" t="s">
        <v>1548</v>
      </c>
      <c r="K182" s="248" t="s">
        <v>1549</v>
      </c>
      <c r="L182" s="6" t="s">
        <v>679</v>
      </c>
      <c r="M182" s="53" t="s">
        <v>308</v>
      </c>
      <c r="N182" s="54" t="s">
        <v>396</v>
      </c>
      <c r="O182" s="1" t="s">
        <v>582</v>
      </c>
      <c r="P182" s="1" t="s">
        <v>1550</v>
      </c>
    </row>
    <row r="183" spans="1:16" ht="17">
      <c r="A183" s="3" t="s">
        <v>583</v>
      </c>
      <c r="B183" s="197" t="s">
        <v>6</v>
      </c>
      <c r="C183" s="3" t="s">
        <v>3</v>
      </c>
      <c r="D183" s="3" t="s">
        <v>5</v>
      </c>
      <c r="E183" s="3">
        <v>3</v>
      </c>
      <c r="F183" s="279" t="s">
        <v>70</v>
      </c>
      <c r="G183" s="3" t="s">
        <v>9</v>
      </c>
      <c r="H183" s="6">
        <v>14860193</v>
      </c>
      <c r="I183" s="66" t="s">
        <v>1551</v>
      </c>
      <c r="J183" s="6" t="s">
        <v>1552</v>
      </c>
      <c r="K183" s="67" t="s">
        <v>1553</v>
      </c>
      <c r="L183" s="6" t="s">
        <v>679</v>
      </c>
      <c r="M183" s="53" t="s">
        <v>308</v>
      </c>
      <c r="N183" s="54" t="s">
        <v>396</v>
      </c>
      <c r="O183" s="1" t="s">
        <v>582</v>
      </c>
      <c r="P183" s="1"/>
    </row>
    <row r="184" spans="1:16" ht="17">
      <c r="A184" s="3" t="s">
        <v>583</v>
      </c>
      <c r="B184" s="197" t="s">
        <v>6</v>
      </c>
      <c r="C184" s="3" t="s">
        <v>3</v>
      </c>
      <c r="D184" s="3" t="s">
        <v>5</v>
      </c>
      <c r="E184" s="3">
        <v>3</v>
      </c>
      <c r="F184" s="279" t="s">
        <v>70</v>
      </c>
      <c r="G184" s="3" t="s">
        <v>10</v>
      </c>
      <c r="H184" s="5" t="s">
        <v>982</v>
      </c>
      <c r="I184" s="66" t="s">
        <v>470</v>
      </c>
      <c r="J184" s="5" t="s">
        <v>983</v>
      </c>
      <c r="K184" s="68" t="s">
        <v>984</v>
      </c>
      <c r="L184" s="6" t="s">
        <v>679</v>
      </c>
      <c r="M184" s="53" t="s">
        <v>308</v>
      </c>
      <c r="N184" s="54" t="s">
        <v>396</v>
      </c>
      <c r="O184" s="1" t="s">
        <v>582</v>
      </c>
      <c r="P184" s="371" t="s">
        <v>985</v>
      </c>
    </row>
    <row r="185" spans="1:16" ht="17">
      <c r="A185" s="3" t="s">
        <v>583</v>
      </c>
      <c r="B185" s="197" t="s">
        <v>6</v>
      </c>
      <c r="C185" s="3" t="s">
        <v>3</v>
      </c>
      <c r="D185" s="3" t="s">
        <v>5</v>
      </c>
      <c r="E185" s="3">
        <v>3</v>
      </c>
      <c r="F185" s="279" t="s">
        <v>71</v>
      </c>
      <c r="G185" s="3" t="s">
        <v>8</v>
      </c>
      <c r="H185" s="53">
        <v>14361306</v>
      </c>
      <c r="I185" s="54" t="s">
        <v>1854</v>
      </c>
      <c r="J185" s="6" t="s">
        <v>1855</v>
      </c>
      <c r="K185" s="67" t="s">
        <v>1856</v>
      </c>
      <c r="L185" s="6" t="s">
        <v>679</v>
      </c>
      <c r="M185" s="53" t="s">
        <v>308</v>
      </c>
      <c r="N185" s="54" t="s">
        <v>396</v>
      </c>
      <c r="O185" s="1" t="s">
        <v>582</v>
      </c>
      <c r="P185" s="378"/>
    </row>
    <row r="186" spans="1:16" ht="17">
      <c r="A186" s="3" t="s">
        <v>583</v>
      </c>
      <c r="B186" s="197" t="s">
        <v>6</v>
      </c>
      <c r="C186" s="3" t="s">
        <v>3</v>
      </c>
      <c r="D186" s="3" t="s">
        <v>5</v>
      </c>
      <c r="E186" s="3">
        <v>3</v>
      </c>
      <c r="F186" s="279" t="s">
        <v>71</v>
      </c>
      <c r="G186" s="3" t="s">
        <v>9</v>
      </c>
      <c r="H186" s="5" t="s">
        <v>986</v>
      </c>
      <c r="I186" s="66" t="s">
        <v>262</v>
      </c>
      <c r="J186" s="5" t="s">
        <v>987</v>
      </c>
      <c r="K186" s="68" t="s">
        <v>988</v>
      </c>
      <c r="L186" s="6" t="s">
        <v>679</v>
      </c>
      <c r="M186" s="53" t="s">
        <v>308</v>
      </c>
      <c r="N186" s="54" t="s">
        <v>396</v>
      </c>
      <c r="O186" s="1" t="s">
        <v>582</v>
      </c>
      <c r="P186" s="371" t="s">
        <v>989</v>
      </c>
    </row>
    <row r="187" spans="1:16" ht="17">
      <c r="A187" s="3" t="s">
        <v>583</v>
      </c>
      <c r="B187" s="197" t="s">
        <v>6</v>
      </c>
      <c r="C187" s="3" t="s">
        <v>3</v>
      </c>
      <c r="D187" s="3" t="s">
        <v>5</v>
      </c>
      <c r="E187" s="3">
        <v>3</v>
      </c>
      <c r="F187" s="279" t="s">
        <v>71</v>
      </c>
      <c r="G187" s="3" t="s">
        <v>10</v>
      </c>
      <c r="H187" s="54">
        <v>14840490</v>
      </c>
      <c r="I187" s="84" t="s">
        <v>1554</v>
      </c>
      <c r="J187" s="6" t="s">
        <v>1555</v>
      </c>
      <c r="K187" s="67" t="s">
        <v>1556</v>
      </c>
      <c r="L187" s="6" t="s">
        <v>679</v>
      </c>
      <c r="M187" s="53" t="s">
        <v>308</v>
      </c>
      <c r="N187" s="54" t="s">
        <v>396</v>
      </c>
      <c r="O187" s="1" t="s">
        <v>582</v>
      </c>
      <c r="P187" s="379"/>
    </row>
    <row r="188" spans="1:16" ht="17">
      <c r="A188" s="3" t="s">
        <v>583</v>
      </c>
      <c r="B188" s="197" t="s">
        <v>6</v>
      </c>
      <c r="C188" s="3" t="s">
        <v>3</v>
      </c>
      <c r="D188" s="3" t="s">
        <v>5</v>
      </c>
      <c r="E188" s="3">
        <v>3</v>
      </c>
      <c r="F188" s="279" t="s">
        <v>72</v>
      </c>
      <c r="G188" s="3" t="s">
        <v>8</v>
      </c>
      <c r="H188" s="58" t="s">
        <v>328</v>
      </c>
      <c r="I188" s="59" t="s">
        <v>990</v>
      </c>
      <c r="J188" s="60" t="s">
        <v>329</v>
      </c>
      <c r="K188" s="81" t="s">
        <v>330</v>
      </c>
      <c r="L188" s="6" t="s">
        <v>679</v>
      </c>
      <c r="M188" s="53" t="s">
        <v>308</v>
      </c>
      <c r="N188" s="54" t="s">
        <v>396</v>
      </c>
      <c r="O188" s="1" t="s">
        <v>582</v>
      </c>
      <c r="P188" s="380"/>
    </row>
    <row r="189" spans="1:16" ht="17">
      <c r="A189" s="3" t="s">
        <v>583</v>
      </c>
      <c r="B189" s="197" t="s">
        <v>6</v>
      </c>
      <c r="C189" s="3" t="s">
        <v>3</v>
      </c>
      <c r="D189" s="3" t="s">
        <v>5</v>
      </c>
      <c r="E189" s="3">
        <v>3</v>
      </c>
      <c r="F189" s="279" t="s">
        <v>72</v>
      </c>
      <c r="G189" s="3" t="s">
        <v>9</v>
      </c>
      <c r="H189" s="58">
        <v>11180203</v>
      </c>
      <c r="I189" s="59" t="s">
        <v>991</v>
      </c>
      <c r="J189" s="60" t="s">
        <v>394</v>
      </c>
      <c r="K189" s="81" t="s">
        <v>395</v>
      </c>
      <c r="L189" s="6" t="s">
        <v>679</v>
      </c>
      <c r="M189" s="53" t="s">
        <v>308</v>
      </c>
      <c r="N189" s="54" t="s">
        <v>396</v>
      </c>
      <c r="O189" s="1" t="s">
        <v>582</v>
      </c>
      <c r="P189" s="380"/>
    </row>
    <row r="190" spans="1:16" ht="17">
      <c r="A190" s="3" t="s">
        <v>583</v>
      </c>
      <c r="B190" s="197" t="s">
        <v>6</v>
      </c>
      <c r="C190" s="3" t="s">
        <v>3</v>
      </c>
      <c r="D190" s="3" t="s">
        <v>5</v>
      </c>
      <c r="E190" s="3">
        <v>3</v>
      </c>
      <c r="F190" s="279" t="s">
        <v>72</v>
      </c>
      <c r="G190" s="3" t="s">
        <v>10</v>
      </c>
      <c r="H190" s="58" t="s">
        <v>348</v>
      </c>
      <c r="I190" s="59" t="s">
        <v>992</v>
      </c>
      <c r="J190" s="60" t="s">
        <v>349</v>
      </c>
      <c r="K190" s="81" t="s">
        <v>350</v>
      </c>
      <c r="L190" s="6" t="s">
        <v>679</v>
      </c>
      <c r="M190" s="53" t="s">
        <v>308</v>
      </c>
      <c r="N190" s="54" t="s">
        <v>396</v>
      </c>
      <c r="O190" s="1" t="s">
        <v>582</v>
      </c>
      <c r="P190" s="380"/>
    </row>
    <row r="191" spans="1:16" ht="17">
      <c r="A191" s="3" t="s">
        <v>583</v>
      </c>
      <c r="B191" s="197" t="s">
        <v>6</v>
      </c>
      <c r="C191" s="3" t="s">
        <v>3</v>
      </c>
      <c r="D191" s="3" t="s">
        <v>5</v>
      </c>
      <c r="E191" s="3">
        <v>3</v>
      </c>
      <c r="F191" s="279" t="s">
        <v>73</v>
      </c>
      <c r="G191" s="3" t="s">
        <v>8</v>
      </c>
      <c r="H191" s="69" t="s">
        <v>993</v>
      </c>
      <c r="I191" s="66" t="s">
        <v>1645</v>
      </c>
      <c r="J191" s="69" t="s">
        <v>994</v>
      </c>
      <c r="K191" s="66" t="s">
        <v>1557</v>
      </c>
      <c r="L191" s="6" t="s">
        <v>679</v>
      </c>
      <c r="M191" s="53" t="s">
        <v>308</v>
      </c>
      <c r="N191" s="54" t="s">
        <v>396</v>
      </c>
      <c r="O191" s="1" t="s">
        <v>582</v>
      </c>
      <c r="P191" s="381" t="s">
        <v>1558</v>
      </c>
    </row>
    <row r="192" spans="1:16" ht="17">
      <c r="A192" s="3" t="s">
        <v>583</v>
      </c>
      <c r="B192" s="197" t="s">
        <v>6</v>
      </c>
      <c r="C192" s="3" t="s">
        <v>3</v>
      </c>
      <c r="D192" s="3" t="s">
        <v>5</v>
      </c>
      <c r="E192" s="3">
        <v>3</v>
      </c>
      <c r="F192" s="279" t="s">
        <v>73</v>
      </c>
      <c r="G192" s="3" t="s">
        <v>9</v>
      </c>
      <c r="H192" s="5" t="s">
        <v>266</v>
      </c>
      <c r="I192" s="66" t="s">
        <v>995</v>
      </c>
      <c r="J192" s="5" t="s">
        <v>251</v>
      </c>
      <c r="K192" s="52" t="s">
        <v>296</v>
      </c>
      <c r="L192" s="6" t="s">
        <v>679</v>
      </c>
      <c r="M192" s="53" t="s">
        <v>308</v>
      </c>
      <c r="N192" s="54" t="s">
        <v>396</v>
      </c>
      <c r="O192" s="1" t="s">
        <v>582</v>
      </c>
      <c r="P192" s="380"/>
    </row>
    <row r="193" spans="1:17" ht="17">
      <c r="A193" s="3" t="s">
        <v>583</v>
      </c>
      <c r="B193" s="197" t="s">
        <v>6</v>
      </c>
      <c r="C193" s="3" t="s">
        <v>3</v>
      </c>
      <c r="D193" s="3" t="s">
        <v>5</v>
      </c>
      <c r="E193" s="3">
        <v>3</v>
      </c>
      <c r="F193" s="279" t="s">
        <v>73</v>
      </c>
      <c r="G193" s="3" t="s">
        <v>10</v>
      </c>
      <c r="H193" s="5" t="s">
        <v>450</v>
      </c>
      <c r="I193" s="66" t="s">
        <v>1579</v>
      </c>
      <c r="J193" s="5" t="s">
        <v>451</v>
      </c>
      <c r="K193" s="66" t="s">
        <v>452</v>
      </c>
      <c r="L193" s="6" t="s">
        <v>679</v>
      </c>
      <c r="M193" s="53" t="s">
        <v>308</v>
      </c>
      <c r="N193" s="54" t="s">
        <v>396</v>
      </c>
      <c r="O193" s="1" t="s">
        <v>582</v>
      </c>
      <c r="P193" s="380"/>
    </row>
    <row r="194" spans="1:17" ht="17">
      <c r="A194" s="3" t="s">
        <v>583</v>
      </c>
      <c r="B194" s="197" t="s">
        <v>6</v>
      </c>
      <c r="C194" s="3" t="s">
        <v>3</v>
      </c>
      <c r="D194" s="3" t="s">
        <v>5</v>
      </c>
      <c r="E194" s="3">
        <v>3</v>
      </c>
      <c r="F194" s="279" t="s">
        <v>74</v>
      </c>
      <c r="G194" s="3" t="s">
        <v>8</v>
      </c>
      <c r="H194" s="5" t="s">
        <v>996</v>
      </c>
      <c r="I194" s="66" t="s">
        <v>899</v>
      </c>
      <c r="J194" s="5" t="s">
        <v>997</v>
      </c>
      <c r="K194" s="68" t="s">
        <v>998</v>
      </c>
      <c r="L194" s="6" t="s">
        <v>679</v>
      </c>
      <c r="M194" s="53" t="s">
        <v>308</v>
      </c>
      <c r="N194" s="54" t="s">
        <v>396</v>
      </c>
      <c r="O194" s="1" t="s">
        <v>582</v>
      </c>
      <c r="P194" s="371" t="s">
        <v>998</v>
      </c>
    </row>
    <row r="195" spans="1:17" ht="17">
      <c r="A195" s="3" t="s">
        <v>583</v>
      </c>
      <c r="B195" s="197" t="s">
        <v>6</v>
      </c>
      <c r="C195" s="3" t="s">
        <v>3</v>
      </c>
      <c r="D195" s="3" t="s">
        <v>5</v>
      </c>
      <c r="E195" s="3">
        <v>3</v>
      </c>
      <c r="F195" s="279" t="s">
        <v>74</v>
      </c>
      <c r="G195" s="3" t="s">
        <v>9</v>
      </c>
      <c r="H195" s="6">
        <v>14211062</v>
      </c>
      <c r="I195" s="73" t="s">
        <v>1559</v>
      </c>
      <c r="J195" s="6" t="s">
        <v>1560</v>
      </c>
      <c r="K195" s="5" t="s">
        <v>1561</v>
      </c>
      <c r="L195" s="6" t="s">
        <v>679</v>
      </c>
      <c r="M195" s="53" t="s">
        <v>308</v>
      </c>
      <c r="N195" s="54" t="s">
        <v>396</v>
      </c>
      <c r="O195" s="1" t="s">
        <v>582</v>
      </c>
      <c r="P195" s="371"/>
    </row>
    <row r="196" spans="1:17" ht="17">
      <c r="A196" s="3" t="s">
        <v>583</v>
      </c>
      <c r="B196" s="197" t="s">
        <v>6</v>
      </c>
      <c r="C196" s="3" t="s">
        <v>3</v>
      </c>
      <c r="D196" s="3" t="s">
        <v>5</v>
      </c>
      <c r="E196" s="3">
        <v>3</v>
      </c>
      <c r="F196" s="279" t="s">
        <v>74</v>
      </c>
      <c r="G196" s="3" t="s">
        <v>10</v>
      </c>
      <c r="H196" s="5" t="s">
        <v>1000</v>
      </c>
      <c r="I196" s="66" t="s">
        <v>1001</v>
      </c>
      <c r="J196" s="5" t="s">
        <v>1002</v>
      </c>
      <c r="K196" s="68" t="s">
        <v>1003</v>
      </c>
      <c r="L196" s="6" t="s">
        <v>679</v>
      </c>
      <c r="M196" s="53" t="s">
        <v>308</v>
      </c>
      <c r="N196" s="54" t="s">
        <v>396</v>
      </c>
      <c r="O196" s="1" t="s">
        <v>582</v>
      </c>
      <c r="P196" s="371" t="s">
        <v>1003</v>
      </c>
    </row>
    <row r="197" spans="1:17" ht="17">
      <c r="A197" s="3" t="s">
        <v>583</v>
      </c>
      <c r="B197" s="197" t="s">
        <v>6</v>
      </c>
      <c r="C197" s="3" t="s">
        <v>3</v>
      </c>
      <c r="D197" s="3" t="s">
        <v>5</v>
      </c>
      <c r="E197" s="3">
        <v>3</v>
      </c>
      <c r="F197" s="279" t="s">
        <v>75</v>
      </c>
      <c r="G197" s="3" t="s">
        <v>8</v>
      </c>
      <c r="H197" s="5" t="s">
        <v>1004</v>
      </c>
      <c r="I197" s="66" t="s">
        <v>1005</v>
      </c>
      <c r="J197" s="5" t="s">
        <v>1006</v>
      </c>
      <c r="K197" s="68" t="s">
        <v>1007</v>
      </c>
      <c r="L197" s="6" t="s">
        <v>679</v>
      </c>
      <c r="M197" s="53" t="s">
        <v>308</v>
      </c>
      <c r="N197" s="54" t="s">
        <v>396</v>
      </c>
      <c r="O197" s="1" t="s">
        <v>582</v>
      </c>
      <c r="P197" s="371" t="s">
        <v>1008</v>
      </c>
    </row>
    <row r="198" spans="1:17" ht="17">
      <c r="A198" s="3" t="s">
        <v>583</v>
      </c>
      <c r="B198" s="197" t="s">
        <v>6</v>
      </c>
      <c r="C198" s="3" t="s">
        <v>3</v>
      </c>
      <c r="D198" s="3" t="s">
        <v>5</v>
      </c>
      <c r="E198" s="3">
        <v>3</v>
      </c>
      <c r="F198" s="279" t="s">
        <v>75</v>
      </c>
      <c r="G198" s="3" t="s">
        <v>9</v>
      </c>
      <c r="H198" s="5" t="s">
        <v>1009</v>
      </c>
      <c r="I198" s="66" t="s">
        <v>1005</v>
      </c>
      <c r="J198" s="5" t="s">
        <v>1010</v>
      </c>
      <c r="K198" s="68" t="s">
        <v>1011</v>
      </c>
      <c r="L198" s="6" t="s">
        <v>679</v>
      </c>
      <c r="M198" s="53" t="s">
        <v>308</v>
      </c>
      <c r="N198" s="54" t="s">
        <v>396</v>
      </c>
      <c r="O198" s="1" t="s">
        <v>582</v>
      </c>
      <c r="P198" s="371" t="s">
        <v>1012</v>
      </c>
    </row>
    <row r="199" spans="1:17" ht="17">
      <c r="A199" s="3" t="s">
        <v>583</v>
      </c>
      <c r="B199" s="197" t="s">
        <v>6</v>
      </c>
      <c r="C199" s="3" t="s">
        <v>3</v>
      </c>
      <c r="D199" s="3" t="s">
        <v>5</v>
      </c>
      <c r="E199" s="3">
        <v>3</v>
      </c>
      <c r="F199" s="279" t="s">
        <v>75</v>
      </c>
      <c r="G199" s="3" t="s">
        <v>10</v>
      </c>
      <c r="H199" s="5" t="s">
        <v>1013</v>
      </c>
      <c r="I199" s="66" t="s">
        <v>1014</v>
      </c>
      <c r="J199" s="5" t="s">
        <v>1015</v>
      </c>
      <c r="K199" s="68" t="s">
        <v>1016</v>
      </c>
      <c r="L199" s="6" t="s">
        <v>679</v>
      </c>
      <c r="M199" s="53" t="s">
        <v>308</v>
      </c>
      <c r="N199" s="54" t="s">
        <v>396</v>
      </c>
      <c r="O199" s="1" t="s">
        <v>582</v>
      </c>
      <c r="P199" s="1"/>
    </row>
    <row r="200" spans="1:17" ht="17">
      <c r="A200" s="3" t="s">
        <v>583</v>
      </c>
      <c r="B200" s="197" t="s">
        <v>6</v>
      </c>
      <c r="C200" s="3" t="s">
        <v>3</v>
      </c>
      <c r="D200" s="3" t="s">
        <v>5</v>
      </c>
      <c r="E200" s="3">
        <v>3</v>
      </c>
      <c r="F200" s="279" t="s">
        <v>76</v>
      </c>
      <c r="G200" s="3" t="s">
        <v>8</v>
      </c>
      <c r="H200" s="6">
        <v>13091100</v>
      </c>
      <c r="I200" s="73" t="s">
        <v>404</v>
      </c>
      <c r="J200" s="6" t="s">
        <v>579</v>
      </c>
      <c r="K200" s="66" t="s">
        <v>578</v>
      </c>
      <c r="L200" s="6" t="s">
        <v>679</v>
      </c>
      <c r="M200" s="53" t="s">
        <v>308</v>
      </c>
      <c r="N200" s="54" t="s">
        <v>396</v>
      </c>
      <c r="O200" s="1" t="s">
        <v>582</v>
      </c>
      <c r="P200" s="1"/>
    </row>
    <row r="201" spans="1:17" ht="17">
      <c r="A201" s="3" t="s">
        <v>583</v>
      </c>
      <c r="B201" s="197" t="s">
        <v>6</v>
      </c>
      <c r="C201" s="3" t="s">
        <v>3</v>
      </c>
      <c r="D201" s="3" t="s">
        <v>5</v>
      </c>
      <c r="E201" s="3">
        <v>3</v>
      </c>
      <c r="F201" s="279" t="s">
        <v>76</v>
      </c>
      <c r="G201" s="3" t="s">
        <v>9</v>
      </c>
      <c r="H201" s="69" t="s">
        <v>1017</v>
      </c>
      <c r="I201" s="133" t="s">
        <v>1018</v>
      </c>
      <c r="J201" s="69" t="s">
        <v>1019</v>
      </c>
      <c r="K201" s="5" t="s">
        <v>1562</v>
      </c>
      <c r="L201" s="6" t="s">
        <v>679</v>
      </c>
      <c r="M201" s="53" t="s">
        <v>308</v>
      </c>
      <c r="N201" s="54" t="s">
        <v>396</v>
      </c>
      <c r="O201" s="1" t="s">
        <v>582</v>
      </c>
      <c r="P201" s="93"/>
    </row>
    <row r="202" spans="1:17" ht="17">
      <c r="A202" s="3" t="s">
        <v>583</v>
      </c>
      <c r="B202" s="197" t="s">
        <v>6</v>
      </c>
      <c r="C202" s="3" t="s">
        <v>3</v>
      </c>
      <c r="D202" s="3" t="s">
        <v>5</v>
      </c>
      <c r="E202" s="3">
        <v>3</v>
      </c>
      <c r="F202" s="279" t="s">
        <v>76</v>
      </c>
      <c r="G202" s="3" t="s">
        <v>10</v>
      </c>
      <c r="H202" s="6">
        <v>13603046</v>
      </c>
      <c r="I202" s="73" t="s">
        <v>1536</v>
      </c>
      <c r="J202" s="6" t="s">
        <v>1563</v>
      </c>
      <c r="K202" s="67" t="s">
        <v>1564</v>
      </c>
      <c r="L202" s="6" t="s">
        <v>679</v>
      </c>
      <c r="M202" s="53" t="s">
        <v>308</v>
      </c>
      <c r="N202" s="54" t="s">
        <v>396</v>
      </c>
      <c r="O202" s="1" t="s">
        <v>582</v>
      </c>
      <c r="P202" s="1"/>
    </row>
    <row r="203" spans="1:17" ht="17">
      <c r="A203" s="3" t="s">
        <v>583</v>
      </c>
      <c r="B203" s="197" t="s">
        <v>6</v>
      </c>
      <c r="C203" s="3" t="s">
        <v>3</v>
      </c>
      <c r="D203" s="3" t="s">
        <v>5</v>
      </c>
      <c r="E203" s="3">
        <v>3</v>
      </c>
      <c r="F203" s="279" t="s">
        <v>77</v>
      </c>
      <c r="G203" s="3" t="s">
        <v>8</v>
      </c>
      <c r="H203" s="58" t="s">
        <v>1565</v>
      </c>
      <c r="I203" s="96" t="s">
        <v>1020</v>
      </c>
      <c r="J203" s="60" t="s">
        <v>338</v>
      </c>
      <c r="K203" s="81" t="s">
        <v>339</v>
      </c>
      <c r="L203" s="6" t="s">
        <v>679</v>
      </c>
      <c r="M203" s="53" t="s">
        <v>308</v>
      </c>
      <c r="N203" s="54" t="s">
        <v>396</v>
      </c>
      <c r="O203" s="1" t="s">
        <v>582</v>
      </c>
      <c r="P203" s="1"/>
    </row>
    <row r="204" spans="1:17" ht="17">
      <c r="A204" s="3" t="s">
        <v>583</v>
      </c>
      <c r="B204" s="197" t="s">
        <v>6</v>
      </c>
      <c r="C204" s="3" t="s">
        <v>3</v>
      </c>
      <c r="D204" s="3" t="s">
        <v>5</v>
      </c>
      <c r="E204" s="3">
        <v>3</v>
      </c>
      <c r="F204" s="279" t="s">
        <v>77</v>
      </c>
      <c r="G204" s="3" t="s">
        <v>9</v>
      </c>
      <c r="H204" s="6">
        <v>13670194</v>
      </c>
      <c r="I204" s="73" t="s">
        <v>2080</v>
      </c>
      <c r="J204" s="6" t="s">
        <v>1566</v>
      </c>
      <c r="K204" s="66" t="s">
        <v>1567</v>
      </c>
      <c r="L204" s="6" t="s">
        <v>679</v>
      </c>
      <c r="M204" s="53" t="s">
        <v>308</v>
      </c>
      <c r="N204" s="54" t="s">
        <v>396</v>
      </c>
      <c r="O204" s="1" t="s">
        <v>582</v>
      </c>
      <c r="P204" s="1"/>
    </row>
    <row r="205" spans="1:17" ht="17">
      <c r="A205" s="3" t="s">
        <v>583</v>
      </c>
      <c r="B205" s="197" t="s">
        <v>6</v>
      </c>
      <c r="C205" s="3" t="s">
        <v>3</v>
      </c>
      <c r="D205" s="3" t="s">
        <v>5</v>
      </c>
      <c r="E205" s="3">
        <v>3</v>
      </c>
      <c r="F205" s="279" t="s">
        <v>77</v>
      </c>
      <c r="G205" s="3" t="s">
        <v>10</v>
      </c>
      <c r="H205" s="5" t="s">
        <v>423</v>
      </c>
      <c r="I205" s="66" t="s">
        <v>362</v>
      </c>
      <c r="J205" s="5" t="s">
        <v>424</v>
      </c>
      <c r="K205" s="66" t="s">
        <v>425</v>
      </c>
      <c r="L205" s="6" t="s">
        <v>679</v>
      </c>
      <c r="M205" s="53" t="s">
        <v>308</v>
      </c>
      <c r="N205" s="54" t="s">
        <v>396</v>
      </c>
      <c r="O205" s="1" t="s">
        <v>582</v>
      </c>
      <c r="P205" s="1"/>
    </row>
    <row r="206" spans="1:17" ht="17">
      <c r="A206" s="3" t="s">
        <v>583</v>
      </c>
      <c r="B206" s="197" t="s">
        <v>6</v>
      </c>
      <c r="C206" s="3" t="s">
        <v>3</v>
      </c>
      <c r="D206" s="3" t="s">
        <v>5</v>
      </c>
      <c r="E206" s="3">
        <v>3</v>
      </c>
      <c r="F206" s="279" t="s">
        <v>78</v>
      </c>
      <c r="G206" s="3" t="s">
        <v>8</v>
      </c>
      <c r="H206" s="5" t="s">
        <v>1021</v>
      </c>
      <c r="I206" s="66" t="s">
        <v>1014</v>
      </c>
      <c r="J206" s="5" t="s">
        <v>1022</v>
      </c>
      <c r="K206" s="68" t="s">
        <v>1023</v>
      </c>
      <c r="L206" s="6" t="s">
        <v>679</v>
      </c>
      <c r="M206" s="53" t="s">
        <v>308</v>
      </c>
      <c r="N206" s="54" t="s">
        <v>396</v>
      </c>
      <c r="O206" s="1" t="s">
        <v>582</v>
      </c>
      <c r="P206" s="376" t="s">
        <v>1024</v>
      </c>
      <c r="Q206" s="395"/>
    </row>
    <row r="207" spans="1:17" ht="17">
      <c r="A207" s="3" t="s">
        <v>583</v>
      </c>
      <c r="B207" s="197" t="s">
        <v>6</v>
      </c>
      <c r="C207" s="3" t="s">
        <v>3</v>
      </c>
      <c r="D207" s="3" t="s">
        <v>5</v>
      </c>
      <c r="E207" s="3">
        <v>3</v>
      </c>
      <c r="F207" s="279" t="s">
        <v>78</v>
      </c>
      <c r="G207" s="3" t="s">
        <v>9</v>
      </c>
      <c r="H207" s="5" t="s">
        <v>1025</v>
      </c>
      <c r="I207" s="66" t="s">
        <v>1014</v>
      </c>
      <c r="J207" s="5" t="s">
        <v>1026</v>
      </c>
      <c r="K207" s="68" t="s">
        <v>1027</v>
      </c>
      <c r="L207" s="6" t="s">
        <v>679</v>
      </c>
      <c r="M207" s="53" t="s">
        <v>308</v>
      </c>
      <c r="N207" s="54" t="s">
        <v>396</v>
      </c>
      <c r="O207" s="1" t="s">
        <v>582</v>
      </c>
      <c r="P207" s="376" t="s">
        <v>1028</v>
      </c>
    </row>
    <row r="208" spans="1:17" ht="17">
      <c r="A208" s="3" t="s">
        <v>583</v>
      </c>
      <c r="B208" s="197" t="s">
        <v>6</v>
      </c>
      <c r="C208" s="3" t="s">
        <v>3</v>
      </c>
      <c r="D208" s="3" t="s">
        <v>5</v>
      </c>
      <c r="E208" s="3">
        <v>3</v>
      </c>
      <c r="F208" s="279" t="s">
        <v>78</v>
      </c>
      <c r="G208" s="3" t="s">
        <v>10</v>
      </c>
      <c r="H208" s="5" t="s">
        <v>1029</v>
      </c>
      <c r="I208" s="66" t="s">
        <v>1030</v>
      </c>
      <c r="J208" s="5" t="s">
        <v>1031</v>
      </c>
      <c r="K208" s="68" t="s">
        <v>1032</v>
      </c>
      <c r="L208" s="6" t="s">
        <v>679</v>
      </c>
      <c r="M208" s="6" t="s">
        <v>308</v>
      </c>
      <c r="N208" s="77" t="s">
        <v>396</v>
      </c>
      <c r="O208" s="1" t="s">
        <v>582</v>
      </c>
      <c r="P208" s="376" t="s">
        <v>1033</v>
      </c>
    </row>
    <row r="209" spans="1:24" s="289" customFormat="1" ht="18.75" customHeight="1">
      <c r="A209" s="3" t="s">
        <v>583</v>
      </c>
      <c r="B209" s="197" t="s">
        <v>6</v>
      </c>
      <c r="C209" s="3" t="s">
        <v>3</v>
      </c>
      <c r="D209" s="3" t="s">
        <v>5</v>
      </c>
      <c r="E209" s="3">
        <v>3</v>
      </c>
      <c r="F209" s="279" t="s">
        <v>79</v>
      </c>
      <c r="G209" s="3" t="s">
        <v>8</v>
      </c>
      <c r="H209" s="58" t="s">
        <v>353</v>
      </c>
      <c r="I209" s="59" t="s">
        <v>990</v>
      </c>
      <c r="J209" s="60" t="s">
        <v>354</v>
      </c>
      <c r="K209" s="81" t="s">
        <v>355</v>
      </c>
      <c r="L209" s="6" t="s">
        <v>679</v>
      </c>
      <c r="M209" s="6" t="s">
        <v>308</v>
      </c>
      <c r="N209" s="77" t="s">
        <v>396</v>
      </c>
      <c r="O209" s="1" t="s">
        <v>582</v>
      </c>
      <c r="P209" s="379"/>
      <c r="Q209" s="119"/>
    </row>
    <row r="210" spans="1:24" ht="17">
      <c r="A210" s="3" t="s">
        <v>583</v>
      </c>
      <c r="B210" s="197" t="s">
        <v>6</v>
      </c>
      <c r="C210" s="3" t="s">
        <v>3</v>
      </c>
      <c r="D210" s="3" t="s">
        <v>5</v>
      </c>
      <c r="E210" s="3">
        <v>3</v>
      </c>
      <c r="F210" s="279" t="s">
        <v>79</v>
      </c>
      <c r="G210" s="3" t="s">
        <v>9</v>
      </c>
      <c r="H210" s="58" t="s">
        <v>356</v>
      </c>
      <c r="I210" s="59" t="s">
        <v>948</v>
      </c>
      <c r="J210" s="60" t="s">
        <v>357</v>
      </c>
      <c r="K210" s="81" t="s">
        <v>1568</v>
      </c>
      <c r="L210" s="6" t="s">
        <v>679</v>
      </c>
      <c r="M210" s="6" t="s">
        <v>308</v>
      </c>
      <c r="N210" s="77" t="s">
        <v>396</v>
      </c>
      <c r="O210" s="1" t="s">
        <v>582</v>
      </c>
      <c r="P210" s="1"/>
    </row>
    <row r="211" spans="1:24" ht="17">
      <c r="A211" s="3" t="s">
        <v>583</v>
      </c>
      <c r="B211" s="197" t="s">
        <v>6</v>
      </c>
      <c r="C211" s="3" t="s">
        <v>3</v>
      </c>
      <c r="D211" s="3" t="s">
        <v>5</v>
      </c>
      <c r="E211" s="3">
        <v>3</v>
      </c>
      <c r="F211" s="279" t="s">
        <v>79</v>
      </c>
      <c r="G211" s="3" t="s">
        <v>10</v>
      </c>
      <c r="H211" s="58" t="s">
        <v>358</v>
      </c>
      <c r="I211" s="59" t="s">
        <v>990</v>
      </c>
      <c r="J211" s="60" t="s">
        <v>359</v>
      </c>
      <c r="K211" s="81" t="s">
        <v>1569</v>
      </c>
      <c r="L211" s="6" t="s">
        <v>679</v>
      </c>
      <c r="M211" s="6" t="s">
        <v>308</v>
      </c>
      <c r="N211" s="77" t="s">
        <v>396</v>
      </c>
      <c r="O211" s="1" t="s">
        <v>582</v>
      </c>
      <c r="P211" s="1"/>
    </row>
    <row r="212" spans="1:24" ht="17">
      <c r="A212" s="3" t="s">
        <v>583</v>
      </c>
      <c r="B212" s="197" t="s">
        <v>6</v>
      </c>
      <c r="C212" s="3" t="s">
        <v>3</v>
      </c>
      <c r="D212" s="3" t="s">
        <v>5</v>
      </c>
      <c r="E212" s="3">
        <v>3</v>
      </c>
      <c r="F212" s="279" t="s">
        <v>80</v>
      </c>
      <c r="G212" s="3" t="s">
        <v>8</v>
      </c>
      <c r="H212" s="6">
        <v>13670292</v>
      </c>
      <c r="I212" s="73" t="s">
        <v>1018</v>
      </c>
      <c r="J212" s="6" t="s">
        <v>1570</v>
      </c>
      <c r="K212" s="66" t="s">
        <v>562</v>
      </c>
      <c r="L212" s="6" t="s">
        <v>679</v>
      </c>
      <c r="M212" s="6" t="s">
        <v>308</v>
      </c>
      <c r="N212" s="77" t="s">
        <v>396</v>
      </c>
      <c r="O212" s="1" t="s">
        <v>582</v>
      </c>
      <c r="P212" s="377"/>
    </row>
    <row r="213" spans="1:24" ht="17">
      <c r="A213" s="3" t="s">
        <v>583</v>
      </c>
      <c r="B213" s="197" t="s">
        <v>6</v>
      </c>
      <c r="C213" s="3" t="s">
        <v>3</v>
      </c>
      <c r="D213" s="3" t="s">
        <v>5</v>
      </c>
      <c r="E213" s="3">
        <v>3</v>
      </c>
      <c r="F213" s="279" t="s">
        <v>80</v>
      </c>
      <c r="G213" s="3" t="s">
        <v>9</v>
      </c>
      <c r="H213" s="5" t="s">
        <v>1034</v>
      </c>
      <c r="I213" s="66" t="s">
        <v>796</v>
      </c>
      <c r="J213" s="5" t="s">
        <v>1035</v>
      </c>
      <c r="K213" s="66" t="s">
        <v>1571</v>
      </c>
      <c r="L213" s="6" t="s">
        <v>679</v>
      </c>
      <c r="M213" s="79" t="s">
        <v>308</v>
      </c>
      <c r="N213" s="77" t="s">
        <v>396</v>
      </c>
      <c r="O213" s="1" t="s">
        <v>582</v>
      </c>
      <c r="P213" s="371" t="s">
        <v>1036</v>
      </c>
    </row>
    <row r="214" spans="1:24" ht="17">
      <c r="A214" s="3" t="s">
        <v>583</v>
      </c>
      <c r="B214" s="197" t="s">
        <v>6</v>
      </c>
      <c r="C214" s="3" t="s">
        <v>3</v>
      </c>
      <c r="D214" s="3" t="s">
        <v>5</v>
      </c>
      <c r="E214" s="3">
        <v>3</v>
      </c>
      <c r="F214" s="279" t="s">
        <v>80</v>
      </c>
      <c r="G214" s="3" t="s">
        <v>10</v>
      </c>
      <c r="H214" s="5" t="s">
        <v>1037</v>
      </c>
      <c r="I214" s="66" t="s">
        <v>258</v>
      </c>
      <c r="J214" s="5" t="s">
        <v>1038</v>
      </c>
      <c r="K214" s="66" t="s">
        <v>1039</v>
      </c>
      <c r="L214" s="6" t="s">
        <v>679</v>
      </c>
      <c r="M214" s="79" t="s">
        <v>308</v>
      </c>
      <c r="N214" s="77" t="s">
        <v>396</v>
      </c>
      <c r="O214" s="1" t="s">
        <v>582</v>
      </c>
      <c r="P214" s="371" t="s">
        <v>1039</v>
      </c>
    </row>
    <row r="215" spans="1:24" ht="17">
      <c r="A215" s="3" t="s">
        <v>583</v>
      </c>
      <c r="B215" s="197" t="s">
        <v>6</v>
      </c>
      <c r="C215" s="3" t="s">
        <v>3</v>
      </c>
      <c r="D215" s="3" t="s">
        <v>5</v>
      </c>
      <c r="E215" s="3">
        <v>3</v>
      </c>
      <c r="F215" s="279" t="s">
        <v>81</v>
      </c>
      <c r="G215" s="3" t="s">
        <v>8</v>
      </c>
      <c r="H215" s="5" t="s">
        <v>454</v>
      </c>
      <c r="I215" s="66" t="s">
        <v>1018</v>
      </c>
      <c r="J215" s="5" t="s">
        <v>1040</v>
      </c>
      <c r="K215" s="66" t="s">
        <v>455</v>
      </c>
      <c r="L215" s="6" t="s">
        <v>679</v>
      </c>
      <c r="M215" s="6" t="s">
        <v>308</v>
      </c>
      <c r="N215" s="77" t="s">
        <v>396</v>
      </c>
      <c r="O215" s="1" t="s">
        <v>582</v>
      </c>
      <c r="P215" s="1"/>
    </row>
    <row r="216" spans="1:24" ht="17">
      <c r="A216" s="3" t="s">
        <v>583</v>
      </c>
      <c r="B216" s="197" t="s">
        <v>6</v>
      </c>
      <c r="C216" s="3" t="s">
        <v>3</v>
      </c>
      <c r="D216" s="3" t="s">
        <v>5</v>
      </c>
      <c r="E216" s="3">
        <v>3</v>
      </c>
      <c r="F216" s="279" t="s">
        <v>81</v>
      </c>
      <c r="G216" s="3" t="s">
        <v>9</v>
      </c>
      <c r="H216" s="6">
        <v>13400785</v>
      </c>
      <c r="I216" s="73" t="s">
        <v>1041</v>
      </c>
      <c r="J216" s="6" t="s">
        <v>444</v>
      </c>
      <c r="K216" s="66" t="s">
        <v>570</v>
      </c>
      <c r="L216" s="6" t="s">
        <v>679</v>
      </c>
      <c r="M216" s="6" t="s">
        <v>308</v>
      </c>
      <c r="N216" s="77" t="s">
        <v>396</v>
      </c>
      <c r="O216" s="1" t="s">
        <v>582</v>
      </c>
      <c r="P216" s="1"/>
    </row>
    <row r="217" spans="1:24" ht="17">
      <c r="A217" s="3" t="s">
        <v>583</v>
      </c>
      <c r="B217" s="197" t="s">
        <v>6</v>
      </c>
      <c r="C217" s="3" t="s">
        <v>3</v>
      </c>
      <c r="D217" s="3" t="s">
        <v>5</v>
      </c>
      <c r="E217" s="3">
        <v>3</v>
      </c>
      <c r="F217" s="279" t="s">
        <v>81</v>
      </c>
      <c r="G217" s="3" t="s">
        <v>10</v>
      </c>
      <c r="H217" s="6">
        <v>13670541</v>
      </c>
      <c r="I217" s="73" t="s">
        <v>374</v>
      </c>
      <c r="J217" s="6" t="s">
        <v>443</v>
      </c>
      <c r="K217" s="66" t="s">
        <v>569</v>
      </c>
      <c r="L217" s="6" t="s">
        <v>679</v>
      </c>
      <c r="M217" s="6" t="s">
        <v>308</v>
      </c>
      <c r="N217" s="77" t="s">
        <v>396</v>
      </c>
      <c r="O217" s="1" t="s">
        <v>582</v>
      </c>
      <c r="P217" s="21"/>
    </row>
    <row r="218" spans="1:24" ht="17">
      <c r="A218" s="3" t="s">
        <v>583</v>
      </c>
      <c r="B218" s="197" t="s">
        <v>6</v>
      </c>
      <c r="C218" s="3" t="s">
        <v>3</v>
      </c>
      <c r="D218" s="3" t="s">
        <v>5</v>
      </c>
      <c r="E218" s="3">
        <v>3</v>
      </c>
      <c r="F218" s="279" t="s">
        <v>82</v>
      </c>
      <c r="G218" s="3" t="s">
        <v>8</v>
      </c>
      <c r="H218" s="6">
        <v>13090696</v>
      </c>
      <c r="I218" s="73" t="s">
        <v>404</v>
      </c>
      <c r="J218" s="6" t="s">
        <v>563</v>
      </c>
      <c r="K218" s="66" t="s">
        <v>564</v>
      </c>
      <c r="L218" s="6" t="s">
        <v>679</v>
      </c>
      <c r="M218" s="6" t="s">
        <v>308</v>
      </c>
      <c r="N218" s="77" t="s">
        <v>396</v>
      </c>
      <c r="O218" s="1" t="s">
        <v>582</v>
      </c>
      <c r="P218" s="1"/>
      <c r="R218" s="74"/>
      <c r="S218" s="95"/>
      <c r="T218" s="74"/>
      <c r="U218" s="136"/>
      <c r="V218" s="137"/>
      <c r="W218" s="105"/>
      <c r="X218" s="138"/>
    </row>
    <row r="219" spans="1:24" ht="17">
      <c r="A219" s="3" t="s">
        <v>583</v>
      </c>
      <c r="B219" s="197" t="s">
        <v>6</v>
      </c>
      <c r="C219" s="3" t="s">
        <v>3</v>
      </c>
      <c r="D219" s="3" t="s">
        <v>5</v>
      </c>
      <c r="E219" s="3">
        <v>3</v>
      </c>
      <c r="F219" s="279" t="s">
        <v>82</v>
      </c>
      <c r="G219" s="3" t="s">
        <v>9</v>
      </c>
      <c r="H219" s="58" t="s">
        <v>346</v>
      </c>
      <c r="I219" s="59" t="s">
        <v>482</v>
      </c>
      <c r="J219" s="60" t="s">
        <v>347</v>
      </c>
      <c r="K219" s="81" t="s">
        <v>1572</v>
      </c>
      <c r="L219" s="6" t="s">
        <v>679</v>
      </c>
      <c r="M219" s="6" t="s">
        <v>308</v>
      </c>
      <c r="N219" s="77" t="s">
        <v>396</v>
      </c>
      <c r="O219" s="1" t="s">
        <v>582</v>
      </c>
      <c r="P219" s="1"/>
    </row>
    <row r="220" spans="1:24" ht="17">
      <c r="A220" s="3" t="s">
        <v>583</v>
      </c>
      <c r="B220" s="197" t="s">
        <v>6</v>
      </c>
      <c r="C220" s="3" t="s">
        <v>3</v>
      </c>
      <c r="D220" s="3" t="s">
        <v>5</v>
      </c>
      <c r="E220" s="3">
        <v>3</v>
      </c>
      <c r="F220" s="279" t="s">
        <v>82</v>
      </c>
      <c r="G220" s="3" t="s">
        <v>10</v>
      </c>
      <c r="H220" s="5" t="s">
        <v>265</v>
      </c>
      <c r="I220" s="66" t="s">
        <v>974</v>
      </c>
      <c r="J220" s="5" t="s">
        <v>252</v>
      </c>
      <c r="K220" s="66" t="s">
        <v>302</v>
      </c>
      <c r="L220" s="6" t="s">
        <v>679</v>
      </c>
      <c r="M220" s="6" t="s">
        <v>308</v>
      </c>
      <c r="N220" s="77" t="s">
        <v>396</v>
      </c>
      <c r="O220" s="1" t="s">
        <v>582</v>
      </c>
      <c r="P220" s="1"/>
    </row>
    <row r="221" spans="1:24" ht="17">
      <c r="A221" s="3" t="s">
        <v>583</v>
      </c>
      <c r="B221" s="197" t="s">
        <v>6</v>
      </c>
      <c r="C221" s="3" t="s">
        <v>3</v>
      </c>
      <c r="D221" s="3" t="s">
        <v>5</v>
      </c>
      <c r="E221" s="3">
        <v>3</v>
      </c>
      <c r="F221" s="279" t="s">
        <v>83</v>
      </c>
      <c r="G221" s="3" t="s">
        <v>8</v>
      </c>
      <c r="H221" s="6">
        <v>13363050</v>
      </c>
      <c r="I221" s="73" t="s">
        <v>1044</v>
      </c>
      <c r="J221" s="6" t="s">
        <v>1045</v>
      </c>
      <c r="K221" s="68" t="s">
        <v>1046</v>
      </c>
      <c r="L221" s="6" t="s">
        <v>679</v>
      </c>
      <c r="M221" s="6" t="s">
        <v>308</v>
      </c>
      <c r="N221" s="77" t="s">
        <v>396</v>
      </c>
      <c r="O221" s="1" t="s">
        <v>582</v>
      </c>
      <c r="P221" s="21"/>
    </row>
    <row r="222" spans="1:24" ht="17">
      <c r="A222" s="3" t="s">
        <v>583</v>
      </c>
      <c r="B222" s="197" t="s">
        <v>6</v>
      </c>
      <c r="C222" s="3" t="s">
        <v>3</v>
      </c>
      <c r="D222" s="3" t="s">
        <v>5</v>
      </c>
      <c r="E222" s="3">
        <v>3</v>
      </c>
      <c r="F222" s="279" t="s">
        <v>83</v>
      </c>
      <c r="G222" s="3" t="s">
        <v>9</v>
      </c>
      <c r="H222" s="5" t="s">
        <v>1042</v>
      </c>
      <c r="I222" s="66" t="s">
        <v>541</v>
      </c>
      <c r="J222" s="5" t="s">
        <v>1043</v>
      </c>
      <c r="K222" s="5" t="s">
        <v>1573</v>
      </c>
      <c r="L222" s="6" t="s">
        <v>679</v>
      </c>
      <c r="M222" s="6" t="s">
        <v>308</v>
      </c>
      <c r="N222" s="77" t="s">
        <v>396</v>
      </c>
      <c r="O222" s="1" t="s">
        <v>582</v>
      </c>
      <c r="P222" s="1"/>
    </row>
    <row r="223" spans="1:24" ht="17">
      <c r="A223" s="3" t="s">
        <v>583</v>
      </c>
      <c r="B223" s="197" t="s">
        <v>6</v>
      </c>
      <c r="C223" s="3" t="s">
        <v>3</v>
      </c>
      <c r="D223" s="3" t="s">
        <v>5</v>
      </c>
      <c r="E223" s="3">
        <v>3</v>
      </c>
      <c r="F223" s="279" t="s">
        <v>83</v>
      </c>
      <c r="G223" s="3" t="s">
        <v>10</v>
      </c>
      <c r="H223" s="6">
        <v>12363610</v>
      </c>
      <c r="I223" s="73" t="s">
        <v>1047</v>
      </c>
      <c r="J223" s="6" t="s">
        <v>1574</v>
      </c>
      <c r="K223" s="68" t="s">
        <v>1048</v>
      </c>
      <c r="L223" s="6" t="s">
        <v>679</v>
      </c>
      <c r="M223" s="6" t="s">
        <v>308</v>
      </c>
      <c r="N223" s="77" t="s">
        <v>396</v>
      </c>
      <c r="O223" s="1" t="s">
        <v>582</v>
      </c>
      <c r="P223" s="373"/>
    </row>
    <row r="224" spans="1:24" ht="16.5" customHeight="1">
      <c r="A224" s="3" t="s">
        <v>583</v>
      </c>
      <c r="B224" s="197" t="s">
        <v>6</v>
      </c>
      <c r="C224" s="3" t="s">
        <v>3</v>
      </c>
      <c r="D224" s="3" t="s">
        <v>5</v>
      </c>
      <c r="E224" s="3">
        <v>3</v>
      </c>
      <c r="F224" s="279" t="s">
        <v>84</v>
      </c>
      <c r="G224" s="3" t="s">
        <v>8</v>
      </c>
      <c r="H224" s="5" t="s">
        <v>1049</v>
      </c>
      <c r="I224" s="66" t="s">
        <v>1030</v>
      </c>
      <c r="J224" s="5" t="s">
        <v>1050</v>
      </c>
      <c r="K224" s="68" t="s">
        <v>1051</v>
      </c>
      <c r="L224" s="6" t="s">
        <v>679</v>
      </c>
      <c r="M224" s="6" t="s">
        <v>308</v>
      </c>
      <c r="N224" s="77" t="s">
        <v>396</v>
      </c>
      <c r="O224" s="1" t="s">
        <v>582</v>
      </c>
      <c r="P224" s="376" t="s">
        <v>1052</v>
      </c>
      <c r="Q224" s="180"/>
      <c r="R224" s="119"/>
    </row>
    <row r="225" spans="1:16" ht="17">
      <c r="A225" s="3" t="s">
        <v>583</v>
      </c>
      <c r="B225" s="197" t="s">
        <v>6</v>
      </c>
      <c r="C225" s="3" t="s">
        <v>3</v>
      </c>
      <c r="D225" s="3" t="s">
        <v>5</v>
      </c>
      <c r="E225" s="3">
        <v>3</v>
      </c>
      <c r="F225" s="279" t="s">
        <v>84</v>
      </c>
      <c r="G225" s="3" t="s">
        <v>9</v>
      </c>
      <c r="H225" s="5" t="s">
        <v>1053</v>
      </c>
      <c r="I225" s="66" t="s">
        <v>1054</v>
      </c>
      <c r="J225" s="5" t="s">
        <v>1055</v>
      </c>
      <c r="K225" s="68" t="s">
        <v>1056</v>
      </c>
      <c r="L225" s="6" t="s">
        <v>679</v>
      </c>
      <c r="M225" s="6" t="s">
        <v>308</v>
      </c>
      <c r="N225" s="77" t="s">
        <v>396</v>
      </c>
      <c r="O225" s="1" t="s">
        <v>582</v>
      </c>
      <c r="P225" s="376" t="s">
        <v>1057</v>
      </c>
    </row>
    <row r="226" spans="1:16" ht="17">
      <c r="A226" s="3" t="s">
        <v>583</v>
      </c>
      <c r="B226" s="197" t="s">
        <v>6</v>
      </c>
      <c r="C226" s="3" t="s">
        <v>3</v>
      </c>
      <c r="D226" s="3" t="s">
        <v>5</v>
      </c>
      <c r="E226" s="3">
        <v>3</v>
      </c>
      <c r="F226" s="279" t="s">
        <v>84</v>
      </c>
      <c r="G226" s="3" t="s">
        <v>10</v>
      </c>
      <c r="H226" s="5" t="s">
        <v>1058</v>
      </c>
      <c r="I226" s="66" t="s">
        <v>1054</v>
      </c>
      <c r="J226" s="5" t="s">
        <v>1059</v>
      </c>
      <c r="K226" s="68" t="s">
        <v>1060</v>
      </c>
      <c r="L226" s="6" t="s">
        <v>679</v>
      </c>
      <c r="M226" s="6" t="s">
        <v>308</v>
      </c>
      <c r="N226" s="77" t="s">
        <v>396</v>
      </c>
      <c r="O226" s="1" t="s">
        <v>582</v>
      </c>
      <c r="P226" s="376" t="s">
        <v>1061</v>
      </c>
    </row>
    <row r="227" spans="1:16" ht="17">
      <c r="A227" s="3" t="s">
        <v>583</v>
      </c>
      <c r="B227" s="197" t="s">
        <v>6</v>
      </c>
      <c r="C227" s="3" t="s">
        <v>3</v>
      </c>
      <c r="D227" s="3" t="s">
        <v>5</v>
      </c>
      <c r="E227" s="3">
        <v>3</v>
      </c>
      <c r="F227" s="279" t="s">
        <v>85</v>
      </c>
      <c r="G227" s="3" t="s">
        <v>8</v>
      </c>
      <c r="H227" s="5" t="s">
        <v>256</v>
      </c>
      <c r="I227" s="66" t="s">
        <v>477</v>
      </c>
      <c r="J227" s="5" t="s">
        <v>257</v>
      </c>
      <c r="K227" s="81" t="s">
        <v>295</v>
      </c>
      <c r="L227" s="6" t="s">
        <v>679</v>
      </c>
      <c r="M227" s="6" t="s">
        <v>308</v>
      </c>
      <c r="N227" s="77" t="s">
        <v>396</v>
      </c>
      <c r="O227" s="1" t="s">
        <v>582</v>
      </c>
      <c r="P227" s="377"/>
    </row>
    <row r="228" spans="1:16" ht="17">
      <c r="A228" s="3" t="s">
        <v>583</v>
      </c>
      <c r="B228" s="197" t="s">
        <v>6</v>
      </c>
      <c r="C228" s="3" t="s">
        <v>3</v>
      </c>
      <c r="D228" s="3" t="s">
        <v>5</v>
      </c>
      <c r="E228" s="3">
        <v>3</v>
      </c>
      <c r="F228" s="279" t="s">
        <v>85</v>
      </c>
      <c r="G228" s="3" t="s">
        <v>9</v>
      </c>
      <c r="H228" s="5" t="s">
        <v>1062</v>
      </c>
      <c r="I228" s="66" t="s">
        <v>1063</v>
      </c>
      <c r="J228" s="5" t="s">
        <v>1064</v>
      </c>
      <c r="K228" s="5" t="s">
        <v>1065</v>
      </c>
      <c r="L228" s="6" t="s">
        <v>679</v>
      </c>
      <c r="M228" s="6" t="s">
        <v>308</v>
      </c>
      <c r="N228" s="77" t="s">
        <v>396</v>
      </c>
      <c r="O228" s="1" t="s">
        <v>582</v>
      </c>
      <c r="P228" s="377"/>
    </row>
    <row r="229" spans="1:16" ht="17">
      <c r="A229" s="3" t="s">
        <v>583</v>
      </c>
      <c r="B229" s="197" t="s">
        <v>6</v>
      </c>
      <c r="C229" s="3" t="s">
        <v>3</v>
      </c>
      <c r="D229" s="3" t="s">
        <v>5</v>
      </c>
      <c r="E229" s="3">
        <v>3</v>
      </c>
      <c r="F229" s="279" t="s">
        <v>85</v>
      </c>
      <c r="G229" s="3" t="s">
        <v>10</v>
      </c>
      <c r="H229" s="5" t="s">
        <v>456</v>
      </c>
      <c r="I229" s="66" t="s">
        <v>1066</v>
      </c>
      <c r="J229" s="5" t="s">
        <v>457</v>
      </c>
      <c r="K229" s="66" t="s">
        <v>458</v>
      </c>
      <c r="L229" s="6" t="s">
        <v>679</v>
      </c>
      <c r="M229" s="6" t="s">
        <v>308</v>
      </c>
      <c r="N229" s="77" t="s">
        <v>396</v>
      </c>
      <c r="O229" s="1" t="s">
        <v>582</v>
      </c>
      <c r="P229" s="377"/>
    </row>
    <row r="230" spans="1:16" ht="17">
      <c r="A230" s="3" t="s">
        <v>583</v>
      </c>
      <c r="B230" s="197" t="s">
        <v>6</v>
      </c>
      <c r="C230" s="3" t="s">
        <v>3</v>
      </c>
      <c r="D230" s="3" t="s">
        <v>5</v>
      </c>
      <c r="E230" s="3">
        <v>3</v>
      </c>
      <c r="F230" s="279" t="s">
        <v>86</v>
      </c>
      <c r="G230" s="3" t="s">
        <v>8</v>
      </c>
      <c r="H230" s="5" t="s">
        <v>1067</v>
      </c>
      <c r="I230" s="66" t="s">
        <v>1054</v>
      </c>
      <c r="J230" s="5" t="s">
        <v>1068</v>
      </c>
      <c r="K230" s="68" t="s">
        <v>1069</v>
      </c>
      <c r="L230" s="6" t="s">
        <v>679</v>
      </c>
      <c r="M230" s="6" t="s">
        <v>308</v>
      </c>
      <c r="N230" s="77" t="s">
        <v>396</v>
      </c>
      <c r="O230" s="1" t="s">
        <v>582</v>
      </c>
      <c r="P230" s="376" t="s">
        <v>1070</v>
      </c>
    </row>
    <row r="231" spans="1:16" ht="17">
      <c r="A231" s="3" t="s">
        <v>583</v>
      </c>
      <c r="B231" s="197" t="s">
        <v>6</v>
      </c>
      <c r="C231" s="3" t="s">
        <v>3</v>
      </c>
      <c r="D231" s="3" t="s">
        <v>5</v>
      </c>
      <c r="E231" s="3" t="s">
        <v>229</v>
      </c>
      <c r="F231" s="279" t="s">
        <v>86</v>
      </c>
      <c r="G231" s="3" t="s">
        <v>9</v>
      </c>
      <c r="H231" s="5" t="s">
        <v>1071</v>
      </c>
      <c r="I231" s="66" t="s">
        <v>1072</v>
      </c>
      <c r="J231" s="5" t="s">
        <v>1073</v>
      </c>
      <c r="K231" s="68" t="s">
        <v>1074</v>
      </c>
      <c r="L231" s="6" t="s">
        <v>679</v>
      </c>
      <c r="M231" s="6" t="s">
        <v>308</v>
      </c>
      <c r="N231" s="77" t="s">
        <v>396</v>
      </c>
      <c r="O231" s="1" t="s">
        <v>582</v>
      </c>
      <c r="P231" s="376" t="s">
        <v>1075</v>
      </c>
    </row>
    <row r="232" spans="1:16" ht="17">
      <c r="A232" s="3" t="s">
        <v>583</v>
      </c>
      <c r="B232" s="197" t="s">
        <v>6</v>
      </c>
      <c r="C232" s="3" t="s">
        <v>3</v>
      </c>
      <c r="D232" s="3" t="s">
        <v>5</v>
      </c>
      <c r="E232" s="3" t="s">
        <v>229</v>
      </c>
      <c r="F232" s="279">
        <v>1057</v>
      </c>
      <c r="G232" s="3" t="s">
        <v>207</v>
      </c>
      <c r="H232" s="77">
        <v>14750305</v>
      </c>
      <c r="I232" s="73" t="s">
        <v>1575</v>
      </c>
      <c r="J232" s="6" t="s">
        <v>1576</v>
      </c>
      <c r="K232" s="68" t="s">
        <v>1577</v>
      </c>
      <c r="L232" s="6" t="s">
        <v>679</v>
      </c>
      <c r="M232" s="6" t="s">
        <v>308</v>
      </c>
      <c r="N232" s="77" t="s">
        <v>396</v>
      </c>
      <c r="O232" s="1" t="s">
        <v>582</v>
      </c>
      <c r="P232" s="373"/>
    </row>
    <row r="233" spans="1:16" ht="17">
      <c r="A233" s="3"/>
      <c r="B233" s="197"/>
      <c r="C233" s="3"/>
      <c r="D233" s="3"/>
      <c r="E233" s="3"/>
      <c r="F233" s="279">
        <v>1077</v>
      </c>
      <c r="G233" s="3" t="s">
        <v>8</v>
      </c>
      <c r="H233" s="41" t="s">
        <v>227</v>
      </c>
      <c r="I233" s="50"/>
      <c r="J233" s="99" t="s">
        <v>227</v>
      </c>
      <c r="K233" s="4"/>
      <c r="L233" s="14"/>
      <c r="M233" s="6"/>
      <c r="N233" s="2"/>
      <c r="O233" s="53"/>
      <c r="P233" s="1"/>
    </row>
    <row r="234" spans="1:16" ht="17">
      <c r="A234" s="3"/>
      <c r="B234" s="197"/>
      <c r="C234" s="3"/>
      <c r="D234" s="3"/>
      <c r="E234" s="3"/>
      <c r="F234" s="279"/>
      <c r="G234" s="3" t="s">
        <v>9</v>
      </c>
      <c r="H234" s="41" t="s">
        <v>227</v>
      </c>
      <c r="I234" s="50"/>
      <c r="J234" s="99" t="s">
        <v>227</v>
      </c>
      <c r="K234" s="4"/>
      <c r="L234" s="14"/>
      <c r="M234" s="6"/>
      <c r="N234" s="2"/>
      <c r="O234" s="53"/>
      <c r="P234" s="1"/>
    </row>
    <row r="235" spans="1:16" ht="17">
      <c r="A235" s="3"/>
      <c r="B235" s="197"/>
      <c r="C235" s="3"/>
      <c r="D235" s="3"/>
      <c r="E235" s="3"/>
      <c r="F235" s="279"/>
      <c r="G235" s="3" t="s">
        <v>226</v>
      </c>
      <c r="H235" s="41" t="s">
        <v>227</v>
      </c>
      <c r="I235" s="50"/>
      <c r="J235" s="99" t="s">
        <v>227</v>
      </c>
      <c r="K235" s="4"/>
      <c r="L235" s="14"/>
      <c r="M235" s="6"/>
      <c r="N235" s="2"/>
      <c r="O235" s="53"/>
      <c r="P235" s="1"/>
    </row>
    <row r="236" spans="1:16" ht="17">
      <c r="A236" s="3"/>
      <c r="B236" s="197"/>
      <c r="C236" s="3"/>
      <c r="D236" s="3"/>
      <c r="E236" s="3"/>
      <c r="F236" s="279">
        <v>1097</v>
      </c>
      <c r="G236" s="3" t="s">
        <v>8</v>
      </c>
      <c r="H236" s="41" t="s">
        <v>227</v>
      </c>
      <c r="J236" s="99" t="s">
        <v>227</v>
      </c>
      <c r="K236" s="4"/>
      <c r="L236" s="14"/>
      <c r="M236" s="6"/>
      <c r="N236" s="2"/>
      <c r="O236" s="53"/>
      <c r="P236" s="1"/>
    </row>
    <row r="237" spans="1:16" ht="17">
      <c r="A237" s="3"/>
      <c r="B237" s="197"/>
      <c r="C237" s="3"/>
      <c r="D237" s="3"/>
      <c r="E237" s="3"/>
      <c r="F237" s="279"/>
      <c r="G237" s="3" t="s">
        <v>9</v>
      </c>
      <c r="H237" s="41" t="s">
        <v>227</v>
      </c>
      <c r="J237" s="99" t="s">
        <v>227</v>
      </c>
      <c r="K237" s="33"/>
      <c r="L237" s="14"/>
      <c r="M237" s="6"/>
      <c r="N237" s="2"/>
      <c r="O237" s="53"/>
      <c r="P237" s="1"/>
    </row>
    <row r="238" spans="1:16" ht="17">
      <c r="A238" s="3"/>
      <c r="B238" s="197"/>
      <c r="C238" s="3"/>
      <c r="D238" s="3"/>
      <c r="E238" s="3"/>
      <c r="F238" s="279"/>
      <c r="G238" s="3" t="s">
        <v>226</v>
      </c>
      <c r="H238" s="41" t="s">
        <v>227</v>
      </c>
      <c r="I238" s="50"/>
      <c r="J238" s="99" t="s">
        <v>227</v>
      </c>
      <c r="K238" s="33"/>
      <c r="L238" s="14"/>
      <c r="M238" s="6"/>
      <c r="N238" s="2"/>
      <c r="O238" s="53"/>
      <c r="P238" s="1"/>
    </row>
    <row r="239" spans="1:16" ht="17">
      <c r="A239" s="3" t="s">
        <v>583</v>
      </c>
      <c r="B239" s="197" t="s">
        <v>6</v>
      </c>
      <c r="C239" s="3" t="s">
        <v>3</v>
      </c>
      <c r="D239" s="3" t="s">
        <v>5</v>
      </c>
      <c r="E239" s="3">
        <v>3</v>
      </c>
      <c r="F239" s="279" t="s">
        <v>87</v>
      </c>
      <c r="G239" s="3" t="s">
        <v>8</v>
      </c>
      <c r="H239" s="130" t="s">
        <v>1578</v>
      </c>
      <c r="I239" s="73" t="s">
        <v>1579</v>
      </c>
      <c r="J239" s="5" t="s">
        <v>1580</v>
      </c>
      <c r="K239" s="66" t="s">
        <v>1581</v>
      </c>
      <c r="L239" s="6" t="s">
        <v>1582</v>
      </c>
      <c r="M239" s="53" t="s">
        <v>1583</v>
      </c>
      <c r="N239" s="54" t="s">
        <v>1584</v>
      </c>
      <c r="O239" s="1" t="s">
        <v>1585</v>
      </c>
      <c r="P239" s="98"/>
    </row>
    <row r="240" spans="1:16" ht="17">
      <c r="A240" s="3" t="s">
        <v>583</v>
      </c>
      <c r="B240" s="197" t="s">
        <v>6</v>
      </c>
      <c r="C240" s="3" t="s">
        <v>3</v>
      </c>
      <c r="D240" s="3" t="s">
        <v>5</v>
      </c>
      <c r="E240" s="3">
        <v>3</v>
      </c>
      <c r="F240" s="279" t="s">
        <v>87</v>
      </c>
      <c r="G240" s="3" t="s">
        <v>9</v>
      </c>
      <c r="H240" s="6">
        <v>12380603</v>
      </c>
      <c r="I240" s="73" t="s">
        <v>1063</v>
      </c>
      <c r="J240" s="6" t="s">
        <v>459</v>
      </c>
      <c r="K240" s="66" t="s">
        <v>1586</v>
      </c>
      <c r="L240" s="6" t="s">
        <v>679</v>
      </c>
      <c r="M240" s="53" t="s">
        <v>1583</v>
      </c>
      <c r="N240" s="54" t="s">
        <v>1584</v>
      </c>
      <c r="O240" s="1" t="s">
        <v>1585</v>
      </c>
      <c r="P240" s="1"/>
    </row>
    <row r="241" spans="1:18" ht="17">
      <c r="A241" s="3" t="s">
        <v>583</v>
      </c>
      <c r="B241" s="197" t="s">
        <v>6</v>
      </c>
      <c r="C241" s="3" t="s">
        <v>3</v>
      </c>
      <c r="D241" s="3" t="s">
        <v>5</v>
      </c>
      <c r="E241" s="3">
        <v>3</v>
      </c>
      <c r="F241" s="279" t="s">
        <v>87</v>
      </c>
      <c r="G241" s="3" t="s">
        <v>10</v>
      </c>
      <c r="H241" s="5" t="s">
        <v>1587</v>
      </c>
      <c r="I241" s="66" t="s">
        <v>481</v>
      </c>
      <c r="J241" s="5" t="s">
        <v>1588</v>
      </c>
      <c r="K241" s="81" t="s">
        <v>1589</v>
      </c>
      <c r="L241" s="6" t="s">
        <v>679</v>
      </c>
      <c r="M241" s="53" t="s">
        <v>1583</v>
      </c>
      <c r="N241" s="54" t="s">
        <v>1584</v>
      </c>
      <c r="O241" s="1" t="s">
        <v>1585</v>
      </c>
      <c r="P241" s="1"/>
    </row>
    <row r="242" spans="1:18" ht="17">
      <c r="A242" s="3" t="s">
        <v>583</v>
      </c>
      <c r="B242" s="197" t="s">
        <v>6</v>
      </c>
      <c r="C242" s="3" t="s">
        <v>3</v>
      </c>
      <c r="D242" s="3" t="s">
        <v>5</v>
      </c>
      <c r="E242" s="3">
        <v>3</v>
      </c>
      <c r="F242" s="279" t="s">
        <v>88</v>
      </c>
      <c r="G242" s="3" t="s">
        <v>8</v>
      </c>
      <c r="H242" s="5" t="s">
        <v>1076</v>
      </c>
      <c r="I242" s="66" t="s">
        <v>1072</v>
      </c>
      <c r="J242" s="5" t="s">
        <v>1077</v>
      </c>
      <c r="K242" s="68" t="s">
        <v>1078</v>
      </c>
      <c r="L242" s="6" t="s">
        <v>679</v>
      </c>
      <c r="M242" s="53" t="s">
        <v>1583</v>
      </c>
      <c r="N242" s="54" t="s">
        <v>1584</v>
      </c>
      <c r="O242" s="1" t="s">
        <v>1585</v>
      </c>
      <c r="P242" s="382" t="s">
        <v>1078</v>
      </c>
      <c r="R242" s="105"/>
    </row>
    <row r="243" spans="1:18" ht="17">
      <c r="A243" s="3" t="s">
        <v>583</v>
      </c>
      <c r="B243" s="197" t="s">
        <v>6</v>
      </c>
      <c r="C243" s="3" t="s">
        <v>3</v>
      </c>
      <c r="D243" s="3" t="s">
        <v>5</v>
      </c>
      <c r="E243" s="3">
        <v>3</v>
      </c>
      <c r="F243" s="279" t="s">
        <v>88</v>
      </c>
      <c r="G243" s="3" t="s">
        <v>9</v>
      </c>
      <c r="H243" s="54">
        <v>14640133</v>
      </c>
      <c r="I243" s="84" t="s">
        <v>1590</v>
      </c>
      <c r="J243" s="6" t="s">
        <v>1591</v>
      </c>
      <c r="K243" s="67" t="s">
        <v>1592</v>
      </c>
      <c r="L243" s="6" t="s">
        <v>679</v>
      </c>
      <c r="M243" s="53" t="s">
        <v>1583</v>
      </c>
      <c r="N243" s="54" t="s">
        <v>1584</v>
      </c>
      <c r="O243" s="1" t="s">
        <v>1585</v>
      </c>
      <c r="P243" s="383"/>
    </row>
    <row r="244" spans="1:18" ht="17">
      <c r="A244" s="3" t="s">
        <v>583</v>
      </c>
      <c r="B244" s="197" t="s">
        <v>6</v>
      </c>
      <c r="C244" s="3" t="s">
        <v>3</v>
      </c>
      <c r="D244" s="3" t="s">
        <v>5</v>
      </c>
      <c r="E244" s="3">
        <v>3</v>
      </c>
      <c r="F244" s="279" t="s">
        <v>88</v>
      </c>
      <c r="G244" s="3" t="s">
        <v>10</v>
      </c>
      <c r="H244" s="5" t="s">
        <v>1079</v>
      </c>
      <c r="I244" s="66" t="s">
        <v>1072</v>
      </c>
      <c r="J244" s="5" t="s">
        <v>1080</v>
      </c>
      <c r="K244" s="68" t="s">
        <v>1081</v>
      </c>
      <c r="L244" s="6" t="s">
        <v>679</v>
      </c>
      <c r="M244" s="53" t="s">
        <v>1583</v>
      </c>
      <c r="N244" s="54" t="s">
        <v>1584</v>
      </c>
      <c r="O244" s="1" t="s">
        <v>1585</v>
      </c>
      <c r="P244" s="382" t="s">
        <v>1081</v>
      </c>
    </row>
    <row r="245" spans="1:18" ht="17">
      <c r="A245" s="3" t="s">
        <v>583</v>
      </c>
      <c r="B245" s="197" t="s">
        <v>6</v>
      </c>
      <c r="C245" s="3" t="s">
        <v>3</v>
      </c>
      <c r="D245" s="3" t="s">
        <v>5</v>
      </c>
      <c r="E245" s="3">
        <v>3</v>
      </c>
      <c r="F245" s="279" t="s">
        <v>89</v>
      </c>
      <c r="G245" s="3" t="s">
        <v>8</v>
      </c>
      <c r="H245" s="6">
        <v>13361742</v>
      </c>
      <c r="I245" s="73" t="s">
        <v>1082</v>
      </c>
      <c r="J245" s="6" t="s">
        <v>1593</v>
      </c>
      <c r="K245" s="66" t="s">
        <v>1594</v>
      </c>
      <c r="L245" s="6" t="s">
        <v>679</v>
      </c>
      <c r="M245" s="53" t="s">
        <v>1583</v>
      </c>
      <c r="N245" s="54" t="s">
        <v>1584</v>
      </c>
      <c r="O245" s="1" t="s">
        <v>1585</v>
      </c>
      <c r="P245" s="21"/>
      <c r="Q245" s="395"/>
    </row>
    <row r="246" spans="1:18" ht="17">
      <c r="A246" s="3" t="s">
        <v>583</v>
      </c>
      <c r="B246" s="197" t="s">
        <v>6</v>
      </c>
      <c r="C246" s="3" t="s">
        <v>3</v>
      </c>
      <c r="D246" s="3" t="s">
        <v>5</v>
      </c>
      <c r="E246" s="3">
        <v>3</v>
      </c>
      <c r="F246" s="279" t="s">
        <v>89</v>
      </c>
      <c r="G246" s="3" t="s">
        <v>9</v>
      </c>
      <c r="H246" s="5" t="s">
        <v>461</v>
      </c>
      <c r="I246" s="66" t="s">
        <v>1083</v>
      </c>
      <c r="J246" s="5" t="s">
        <v>462</v>
      </c>
      <c r="K246" s="66" t="s">
        <v>463</v>
      </c>
      <c r="L246" s="6" t="s">
        <v>679</v>
      </c>
      <c r="M246" s="53" t="s">
        <v>1583</v>
      </c>
      <c r="N246" s="54" t="s">
        <v>1584</v>
      </c>
      <c r="O246" s="1" t="s">
        <v>1585</v>
      </c>
      <c r="P246" s="21"/>
      <c r="Q246" s="395"/>
    </row>
    <row r="247" spans="1:18" ht="17">
      <c r="A247" s="3" t="s">
        <v>583</v>
      </c>
      <c r="B247" s="197" t="s">
        <v>6</v>
      </c>
      <c r="C247" s="3" t="s">
        <v>3</v>
      </c>
      <c r="D247" s="3" t="s">
        <v>5</v>
      </c>
      <c r="E247" s="3">
        <v>3</v>
      </c>
      <c r="F247" s="279" t="s">
        <v>89</v>
      </c>
      <c r="G247" s="3" t="s">
        <v>10</v>
      </c>
      <c r="H247" s="5" t="s">
        <v>440</v>
      </c>
      <c r="I247" s="66" t="s">
        <v>1595</v>
      </c>
      <c r="J247" s="5" t="s">
        <v>441</v>
      </c>
      <c r="K247" s="66" t="s">
        <v>442</v>
      </c>
      <c r="L247" s="6" t="s">
        <v>679</v>
      </c>
      <c r="M247" s="53" t="s">
        <v>1583</v>
      </c>
      <c r="N247" s="54" t="s">
        <v>1584</v>
      </c>
      <c r="O247" s="1" t="s">
        <v>1585</v>
      </c>
      <c r="P247" s="21"/>
      <c r="Q247" s="395"/>
    </row>
    <row r="248" spans="1:18" ht="17">
      <c r="A248" s="3" t="s">
        <v>583</v>
      </c>
      <c r="B248" s="197" t="s">
        <v>6</v>
      </c>
      <c r="C248" s="3" t="s">
        <v>3</v>
      </c>
      <c r="D248" s="3" t="s">
        <v>5</v>
      </c>
      <c r="E248" s="3">
        <v>3</v>
      </c>
      <c r="F248" s="279" t="s">
        <v>90</v>
      </c>
      <c r="G248" s="3" t="s">
        <v>8</v>
      </c>
      <c r="H248" s="6">
        <v>13590074</v>
      </c>
      <c r="I248" s="301" t="s">
        <v>501</v>
      </c>
      <c r="J248" s="6" t="s">
        <v>1596</v>
      </c>
      <c r="K248" s="66" t="s">
        <v>1597</v>
      </c>
      <c r="L248" s="6" t="s">
        <v>679</v>
      </c>
      <c r="M248" s="53" t="s">
        <v>1583</v>
      </c>
      <c r="N248" s="54" t="s">
        <v>1584</v>
      </c>
      <c r="O248" s="1" t="s">
        <v>1585</v>
      </c>
      <c r="P248" s="1"/>
    </row>
    <row r="249" spans="1:18" ht="17">
      <c r="A249" s="3" t="s">
        <v>583</v>
      </c>
      <c r="B249" s="197" t="s">
        <v>6</v>
      </c>
      <c r="C249" s="3" t="s">
        <v>3</v>
      </c>
      <c r="D249" s="3" t="s">
        <v>5</v>
      </c>
      <c r="E249" s="3">
        <v>3</v>
      </c>
      <c r="F249" s="279" t="s">
        <v>90</v>
      </c>
      <c r="G249" s="3" t="s">
        <v>9</v>
      </c>
      <c r="H249" s="58">
        <v>12680510</v>
      </c>
      <c r="I249" s="59" t="s">
        <v>471</v>
      </c>
      <c r="J249" s="60" t="s">
        <v>1598</v>
      </c>
      <c r="K249" s="81" t="s">
        <v>1599</v>
      </c>
      <c r="L249" s="6" t="s">
        <v>1582</v>
      </c>
      <c r="M249" s="53" t="s">
        <v>1583</v>
      </c>
      <c r="N249" s="54" t="s">
        <v>1584</v>
      </c>
      <c r="O249" s="1" t="s">
        <v>1585</v>
      </c>
      <c r="P249" s="1"/>
    </row>
    <row r="250" spans="1:18" ht="17">
      <c r="A250" s="3" t="s">
        <v>583</v>
      </c>
      <c r="B250" s="197" t="s">
        <v>6</v>
      </c>
      <c r="C250" s="3" t="s">
        <v>3</v>
      </c>
      <c r="D250" s="3" t="s">
        <v>5</v>
      </c>
      <c r="E250" s="3">
        <v>3</v>
      </c>
      <c r="F250" s="279" t="s">
        <v>90</v>
      </c>
      <c r="G250" s="3" t="s">
        <v>10</v>
      </c>
      <c r="H250" s="5" t="s">
        <v>274</v>
      </c>
      <c r="I250" s="66" t="s">
        <v>1600</v>
      </c>
      <c r="J250" s="5" t="s">
        <v>253</v>
      </c>
      <c r="K250" s="81" t="s">
        <v>1601</v>
      </c>
      <c r="L250" s="6" t="s">
        <v>1582</v>
      </c>
      <c r="M250" s="53" t="s">
        <v>1583</v>
      </c>
      <c r="N250" s="54" t="s">
        <v>1584</v>
      </c>
      <c r="O250" s="1" t="s">
        <v>1585</v>
      </c>
      <c r="P250" s="1"/>
      <c r="Q250" s="180"/>
      <c r="R250" s="119"/>
    </row>
    <row r="251" spans="1:18" ht="17">
      <c r="A251" s="3" t="s">
        <v>583</v>
      </c>
      <c r="B251" s="197" t="s">
        <v>6</v>
      </c>
      <c r="C251" s="3" t="s">
        <v>3</v>
      </c>
      <c r="D251" s="3" t="s">
        <v>5</v>
      </c>
      <c r="E251" s="3">
        <v>3</v>
      </c>
      <c r="F251" s="279" t="s">
        <v>91</v>
      </c>
      <c r="G251" s="3" t="s">
        <v>8</v>
      </c>
      <c r="H251" s="6">
        <v>12370051</v>
      </c>
      <c r="I251" s="73" t="s">
        <v>1602</v>
      </c>
      <c r="J251" s="6" t="s">
        <v>1603</v>
      </c>
      <c r="K251" s="66" t="s">
        <v>1604</v>
      </c>
      <c r="L251" s="6" t="s">
        <v>1582</v>
      </c>
      <c r="M251" s="53" t="s">
        <v>1583</v>
      </c>
      <c r="N251" s="54" t="s">
        <v>1584</v>
      </c>
      <c r="O251" s="1" t="s">
        <v>1585</v>
      </c>
      <c r="P251" s="1"/>
    </row>
    <row r="252" spans="1:18" ht="17">
      <c r="A252" s="3" t="s">
        <v>583</v>
      </c>
      <c r="B252" s="197" t="s">
        <v>6</v>
      </c>
      <c r="C252" s="3" t="s">
        <v>3</v>
      </c>
      <c r="D252" s="3" t="s">
        <v>5</v>
      </c>
      <c r="E252" s="3">
        <v>3</v>
      </c>
      <c r="F252" s="279" t="s">
        <v>91</v>
      </c>
      <c r="G252" s="3" t="s">
        <v>9</v>
      </c>
      <c r="H252" s="6">
        <v>12370024</v>
      </c>
      <c r="I252" s="73" t="s">
        <v>1602</v>
      </c>
      <c r="J252" s="6" t="s">
        <v>1605</v>
      </c>
      <c r="K252" s="66" t="s">
        <v>1606</v>
      </c>
      <c r="L252" s="6" t="s">
        <v>1582</v>
      </c>
      <c r="M252" s="53" t="s">
        <v>1583</v>
      </c>
      <c r="N252" s="54" t="s">
        <v>1584</v>
      </c>
      <c r="O252" s="1" t="s">
        <v>1585</v>
      </c>
      <c r="P252" s="1"/>
    </row>
    <row r="253" spans="1:18" ht="17">
      <c r="A253" s="3" t="s">
        <v>583</v>
      </c>
      <c r="B253" s="197" t="s">
        <v>6</v>
      </c>
      <c r="C253" s="3" t="s">
        <v>3</v>
      </c>
      <c r="D253" s="3" t="s">
        <v>5</v>
      </c>
      <c r="E253" s="3" t="s">
        <v>229</v>
      </c>
      <c r="F253" s="279" t="s">
        <v>91</v>
      </c>
      <c r="G253" s="3" t="s">
        <v>10</v>
      </c>
      <c r="H253" s="3" t="s">
        <v>1607</v>
      </c>
      <c r="I253" s="73" t="s">
        <v>859</v>
      </c>
      <c r="J253" s="5" t="s">
        <v>1608</v>
      </c>
      <c r="K253" s="66" t="s">
        <v>1609</v>
      </c>
      <c r="L253" s="6" t="s">
        <v>1582</v>
      </c>
      <c r="M253" s="53" t="s">
        <v>1583</v>
      </c>
      <c r="N253" s="54" t="s">
        <v>1584</v>
      </c>
      <c r="O253" s="1" t="s">
        <v>1585</v>
      </c>
      <c r="P253" s="1"/>
    </row>
    <row r="254" spans="1:18" ht="17">
      <c r="A254" s="3"/>
      <c r="B254" s="197"/>
      <c r="C254" s="3"/>
      <c r="D254" s="3"/>
      <c r="E254" s="3"/>
      <c r="F254" s="279">
        <v>1357</v>
      </c>
      <c r="G254" s="3" t="s">
        <v>8</v>
      </c>
      <c r="H254" s="5"/>
      <c r="I254" s="73"/>
      <c r="J254" s="5"/>
      <c r="K254" s="5"/>
      <c r="L254" s="5"/>
      <c r="M254" s="5"/>
      <c r="N254" s="53"/>
      <c r="O254" s="76"/>
      <c r="P254" s="102"/>
    </row>
    <row r="255" spans="1:18" ht="17">
      <c r="A255" s="3"/>
      <c r="B255" s="197"/>
      <c r="C255" s="3"/>
      <c r="D255" s="3"/>
      <c r="E255" s="3"/>
      <c r="F255" s="279"/>
      <c r="G255" s="3" t="s">
        <v>9</v>
      </c>
      <c r="H255" s="5"/>
      <c r="I255" s="73"/>
      <c r="J255" s="5"/>
      <c r="K255" s="5"/>
      <c r="L255" s="5"/>
      <c r="M255" s="5"/>
      <c r="N255" s="53"/>
      <c r="O255" s="76"/>
      <c r="P255" s="102"/>
    </row>
    <row r="256" spans="1:18" ht="17">
      <c r="A256" s="3"/>
      <c r="B256" s="197"/>
      <c r="C256" s="3"/>
      <c r="D256" s="3"/>
      <c r="E256" s="3"/>
      <c r="F256" s="279"/>
      <c r="G256" s="3" t="s">
        <v>226</v>
      </c>
      <c r="H256" s="6"/>
      <c r="I256" s="73"/>
      <c r="J256" s="6"/>
      <c r="K256" s="5"/>
      <c r="L256" s="6"/>
      <c r="M256" s="6"/>
      <c r="N256" s="6"/>
      <c r="O256" s="65"/>
      <c r="P256" s="102"/>
    </row>
    <row r="257" spans="1:18" ht="17">
      <c r="A257" s="3"/>
      <c r="B257" s="197"/>
      <c r="C257" s="3"/>
      <c r="D257" s="3"/>
      <c r="E257" s="3"/>
      <c r="F257" s="279">
        <v>1377</v>
      </c>
      <c r="G257" s="3" t="s">
        <v>8</v>
      </c>
      <c r="H257" s="63"/>
      <c r="I257" s="64"/>
      <c r="J257" s="63"/>
      <c r="K257" s="64"/>
      <c r="L257" s="65"/>
      <c r="M257" s="65"/>
      <c r="N257" s="53"/>
      <c r="O257" s="63"/>
      <c r="P257" s="102"/>
    </row>
    <row r="258" spans="1:18" ht="17">
      <c r="A258" s="3"/>
      <c r="B258" s="197"/>
      <c r="C258" s="3"/>
      <c r="D258" s="3"/>
      <c r="E258" s="8"/>
      <c r="F258" s="279"/>
      <c r="G258" s="3" t="s">
        <v>9</v>
      </c>
      <c r="H258" s="5"/>
      <c r="I258" s="66"/>
      <c r="J258" s="5"/>
      <c r="K258" s="66"/>
      <c r="L258" s="6"/>
      <c r="M258" s="6"/>
      <c r="N258" s="53"/>
      <c r="O258" s="76"/>
      <c r="P258" s="102"/>
    </row>
    <row r="259" spans="1:18" ht="17">
      <c r="A259" s="3"/>
      <c r="B259" s="197"/>
      <c r="C259" s="3"/>
      <c r="D259" s="3"/>
      <c r="E259" s="7"/>
      <c r="F259" s="8"/>
      <c r="G259" s="3" t="s">
        <v>226</v>
      </c>
      <c r="H259" s="63"/>
      <c r="I259" s="64"/>
      <c r="J259" s="63"/>
      <c r="K259" s="64"/>
      <c r="L259" s="65"/>
      <c r="M259" s="65"/>
      <c r="N259" s="53"/>
      <c r="O259" s="76"/>
      <c r="P259" s="102"/>
    </row>
    <row r="260" spans="1:18" s="17" customFormat="1">
      <c r="A260" s="15"/>
      <c r="B260" s="40"/>
      <c r="C260" s="15"/>
      <c r="D260" s="40"/>
      <c r="E260" s="15"/>
      <c r="F260" s="16"/>
      <c r="G260" s="15"/>
      <c r="H260" s="120"/>
      <c r="I260" s="121"/>
      <c r="J260" s="122"/>
      <c r="K260" s="120"/>
      <c r="L260" s="139"/>
      <c r="M260" s="139"/>
      <c r="N260" s="123"/>
      <c r="O260" s="293"/>
      <c r="P260" s="124"/>
      <c r="Q260" s="396"/>
    </row>
    <row r="261" spans="1:18" s="17" customFormat="1">
      <c r="A261" s="15"/>
      <c r="B261" s="15"/>
      <c r="C261" s="15"/>
      <c r="D261" s="15"/>
      <c r="E261" s="15"/>
      <c r="F261" s="16"/>
      <c r="G261" s="15"/>
      <c r="H261" s="120"/>
      <c r="I261" s="125"/>
      <c r="J261" s="126"/>
      <c r="K261" s="127"/>
      <c r="L261" s="139"/>
      <c r="M261" s="139"/>
      <c r="N261" s="123"/>
      <c r="O261" s="293"/>
      <c r="P261" s="124"/>
      <c r="Q261" s="396"/>
    </row>
    <row r="262" spans="1:18" ht="18.75" customHeight="1">
      <c r="A262" s="3" t="s">
        <v>583</v>
      </c>
      <c r="B262" s="197" t="s">
        <v>6</v>
      </c>
      <c r="C262" s="3" t="s">
        <v>4</v>
      </c>
      <c r="D262" s="3" t="s">
        <v>5</v>
      </c>
      <c r="E262" s="3">
        <v>3</v>
      </c>
      <c r="F262" s="3" t="s">
        <v>305</v>
      </c>
      <c r="G262" s="3" t="s">
        <v>8</v>
      </c>
      <c r="H262" s="5" t="s">
        <v>464</v>
      </c>
      <c r="I262" s="73" t="s">
        <v>1610</v>
      </c>
      <c r="J262" s="5" t="s">
        <v>465</v>
      </c>
      <c r="K262" s="66" t="s">
        <v>1611</v>
      </c>
      <c r="L262" s="5" t="s">
        <v>1612</v>
      </c>
      <c r="M262" s="53" t="s">
        <v>1613</v>
      </c>
      <c r="N262" s="73" t="s">
        <v>1614</v>
      </c>
      <c r="O262" s="1" t="s">
        <v>1615</v>
      </c>
      <c r="P262" s="1"/>
    </row>
    <row r="263" spans="1:18" ht="17.25" customHeight="1">
      <c r="A263" s="3" t="s">
        <v>583</v>
      </c>
      <c r="B263" s="197" t="s">
        <v>6</v>
      </c>
      <c r="C263" s="3" t="s">
        <v>4</v>
      </c>
      <c r="D263" s="3" t="s">
        <v>5</v>
      </c>
      <c r="E263" s="3">
        <v>3</v>
      </c>
      <c r="F263" s="279" t="s">
        <v>92</v>
      </c>
      <c r="G263" s="3" t="s">
        <v>9</v>
      </c>
      <c r="H263" s="5" t="s">
        <v>1084</v>
      </c>
      <c r="I263" s="133" t="s">
        <v>258</v>
      </c>
      <c r="J263" s="5" t="s">
        <v>1085</v>
      </c>
      <c r="K263" s="66" t="s">
        <v>1086</v>
      </c>
      <c r="L263" s="5" t="s">
        <v>1612</v>
      </c>
      <c r="M263" s="79" t="s">
        <v>1613</v>
      </c>
      <c r="N263" s="54" t="s">
        <v>1614</v>
      </c>
      <c r="O263" s="1" t="s">
        <v>1615</v>
      </c>
      <c r="P263" s="21"/>
    </row>
    <row r="264" spans="1:18" ht="19.5" customHeight="1">
      <c r="A264" s="3" t="s">
        <v>583</v>
      </c>
      <c r="B264" s="197" t="s">
        <v>6</v>
      </c>
      <c r="C264" s="3" t="s">
        <v>4</v>
      </c>
      <c r="D264" s="3" t="s">
        <v>5</v>
      </c>
      <c r="E264" s="3">
        <v>3</v>
      </c>
      <c r="F264" s="279" t="s">
        <v>92</v>
      </c>
      <c r="G264" s="3" t="s">
        <v>10</v>
      </c>
      <c r="H264" s="5" t="s">
        <v>1087</v>
      </c>
      <c r="I264" s="133" t="s">
        <v>513</v>
      </c>
      <c r="J264" s="5" t="s">
        <v>1088</v>
      </c>
      <c r="K264" s="66" t="s">
        <v>1089</v>
      </c>
      <c r="L264" s="5" t="s">
        <v>679</v>
      </c>
      <c r="M264" s="79" t="s">
        <v>1613</v>
      </c>
      <c r="N264" s="54" t="s">
        <v>1614</v>
      </c>
      <c r="O264" s="1" t="s">
        <v>1615</v>
      </c>
      <c r="P264" s="371" t="s">
        <v>1090</v>
      </c>
    </row>
    <row r="265" spans="1:18" ht="17">
      <c r="A265" s="3" t="s">
        <v>583</v>
      </c>
      <c r="B265" s="197" t="s">
        <v>6</v>
      </c>
      <c r="C265" s="3" t="s">
        <v>4</v>
      </c>
      <c r="D265" s="3" t="s">
        <v>5</v>
      </c>
      <c r="E265" s="3">
        <v>3</v>
      </c>
      <c r="F265" s="279" t="s">
        <v>93</v>
      </c>
      <c r="G265" s="3" t="s">
        <v>8</v>
      </c>
      <c r="H265" s="63" t="s">
        <v>1616</v>
      </c>
      <c r="I265" s="64" t="s">
        <v>1091</v>
      </c>
      <c r="J265" s="63" t="s">
        <v>360</v>
      </c>
      <c r="K265" s="64" t="s">
        <v>1617</v>
      </c>
      <c r="L265" s="5" t="s">
        <v>679</v>
      </c>
      <c r="M265" s="53" t="s">
        <v>1613</v>
      </c>
      <c r="N265" s="73" t="s">
        <v>1614</v>
      </c>
      <c r="O265" s="1" t="s">
        <v>1615</v>
      </c>
      <c r="P265" s="374"/>
      <c r="R265" s="132"/>
    </row>
    <row r="266" spans="1:18" ht="17">
      <c r="A266" s="3" t="s">
        <v>583</v>
      </c>
      <c r="B266" s="197" t="s">
        <v>6</v>
      </c>
      <c r="C266" s="3" t="s">
        <v>4</v>
      </c>
      <c r="D266" s="3" t="s">
        <v>5</v>
      </c>
      <c r="E266" s="3">
        <v>3</v>
      </c>
      <c r="F266" s="279" t="s">
        <v>93</v>
      </c>
      <c r="G266" s="3" t="s">
        <v>9</v>
      </c>
      <c r="H266" s="5" t="s">
        <v>1618</v>
      </c>
      <c r="I266" s="66" t="s">
        <v>1092</v>
      </c>
      <c r="J266" s="5" t="s">
        <v>375</v>
      </c>
      <c r="K266" s="66" t="s">
        <v>1619</v>
      </c>
      <c r="L266" s="5" t="s">
        <v>679</v>
      </c>
      <c r="M266" s="53" t="s">
        <v>1613</v>
      </c>
      <c r="N266" s="54" t="s">
        <v>1614</v>
      </c>
      <c r="O266" s="1" t="s">
        <v>1615</v>
      </c>
      <c r="P266" s="374"/>
      <c r="R266" s="95"/>
    </row>
    <row r="267" spans="1:18" ht="17">
      <c r="A267" s="3" t="s">
        <v>583</v>
      </c>
      <c r="B267" s="197" t="s">
        <v>6</v>
      </c>
      <c r="C267" s="3" t="s">
        <v>4</v>
      </c>
      <c r="D267" s="3" t="s">
        <v>5</v>
      </c>
      <c r="E267" s="3">
        <v>3</v>
      </c>
      <c r="F267" s="279" t="s">
        <v>93</v>
      </c>
      <c r="G267" s="3" t="s">
        <v>10</v>
      </c>
      <c r="H267" s="63" t="s">
        <v>1620</v>
      </c>
      <c r="I267" s="64" t="s">
        <v>542</v>
      </c>
      <c r="J267" s="63" t="s">
        <v>1621</v>
      </c>
      <c r="K267" s="64" t="s">
        <v>1622</v>
      </c>
      <c r="L267" s="5" t="s">
        <v>679</v>
      </c>
      <c r="M267" s="53" t="s">
        <v>1613</v>
      </c>
      <c r="N267" s="54" t="s">
        <v>1614</v>
      </c>
      <c r="O267" s="1" t="s">
        <v>1615</v>
      </c>
      <c r="P267" s="374"/>
      <c r="R267" s="132"/>
    </row>
    <row r="268" spans="1:18" ht="17">
      <c r="A268" s="3" t="s">
        <v>583</v>
      </c>
      <c r="B268" s="197" t="s">
        <v>6</v>
      </c>
      <c r="C268" s="3" t="s">
        <v>4</v>
      </c>
      <c r="D268" s="3" t="s">
        <v>5</v>
      </c>
      <c r="E268" s="3">
        <v>3</v>
      </c>
      <c r="F268" s="279" t="s">
        <v>94</v>
      </c>
      <c r="G268" s="3" t="s">
        <v>8</v>
      </c>
      <c r="H268" s="5" t="s">
        <v>1093</v>
      </c>
      <c r="I268" s="133" t="s">
        <v>909</v>
      </c>
      <c r="J268" s="5" t="s">
        <v>1094</v>
      </c>
      <c r="K268" s="66" t="s">
        <v>1095</v>
      </c>
      <c r="L268" s="5" t="s">
        <v>679</v>
      </c>
      <c r="M268" s="79" t="s">
        <v>1613</v>
      </c>
      <c r="N268" s="54" t="s">
        <v>1614</v>
      </c>
      <c r="O268" s="1" t="s">
        <v>1615</v>
      </c>
      <c r="P268" s="371" t="s">
        <v>1096</v>
      </c>
    </row>
    <row r="269" spans="1:18" ht="17">
      <c r="A269" s="3" t="s">
        <v>583</v>
      </c>
      <c r="B269" s="197" t="s">
        <v>6</v>
      </c>
      <c r="C269" s="3" t="s">
        <v>4</v>
      </c>
      <c r="D269" s="3" t="s">
        <v>5</v>
      </c>
      <c r="E269" s="3">
        <v>3</v>
      </c>
      <c r="F269" s="279" t="s">
        <v>94</v>
      </c>
      <c r="G269" s="3" t="s">
        <v>9</v>
      </c>
      <c r="H269" s="5" t="s">
        <v>1097</v>
      </c>
      <c r="I269" s="133" t="s">
        <v>916</v>
      </c>
      <c r="J269" s="5" t="s">
        <v>1098</v>
      </c>
      <c r="K269" s="66" t="s">
        <v>1099</v>
      </c>
      <c r="L269" s="5" t="s">
        <v>679</v>
      </c>
      <c r="M269" s="79" t="s">
        <v>1613</v>
      </c>
      <c r="N269" s="54" t="s">
        <v>1614</v>
      </c>
      <c r="O269" s="1" t="s">
        <v>1615</v>
      </c>
      <c r="P269" s="375"/>
    </row>
    <row r="270" spans="1:18" ht="17">
      <c r="A270" s="3" t="s">
        <v>583</v>
      </c>
      <c r="B270" s="197" t="s">
        <v>6</v>
      </c>
      <c r="C270" s="3" t="s">
        <v>4</v>
      </c>
      <c r="D270" s="3" t="s">
        <v>5</v>
      </c>
      <c r="E270" s="3">
        <v>3</v>
      </c>
      <c r="F270" s="279" t="s">
        <v>94</v>
      </c>
      <c r="G270" s="3" t="s">
        <v>10</v>
      </c>
      <c r="H270" s="5" t="s">
        <v>1100</v>
      </c>
      <c r="I270" s="133" t="s">
        <v>920</v>
      </c>
      <c r="J270" s="5" t="s">
        <v>1101</v>
      </c>
      <c r="K270" s="66" t="s">
        <v>1102</v>
      </c>
      <c r="L270" s="5" t="s">
        <v>679</v>
      </c>
      <c r="M270" s="79" t="s">
        <v>1613</v>
      </c>
      <c r="N270" s="54" t="s">
        <v>1614</v>
      </c>
      <c r="O270" s="1" t="s">
        <v>1615</v>
      </c>
      <c r="P270" s="371" t="s">
        <v>1103</v>
      </c>
    </row>
    <row r="271" spans="1:18" ht="17">
      <c r="A271" s="3" t="s">
        <v>583</v>
      </c>
      <c r="B271" s="197" t="s">
        <v>6</v>
      </c>
      <c r="C271" s="3" t="s">
        <v>4</v>
      </c>
      <c r="D271" s="3" t="s">
        <v>5</v>
      </c>
      <c r="E271" s="3">
        <v>3</v>
      </c>
      <c r="F271" s="279" t="s">
        <v>95</v>
      </c>
      <c r="G271" s="3" t="s">
        <v>8</v>
      </c>
      <c r="H271" s="116" t="s">
        <v>467</v>
      </c>
      <c r="I271" s="135" t="s">
        <v>448</v>
      </c>
      <c r="J271" s="118" t="s">
        <v>468</v>
      </c>
      <c r="K271" s="66" t="s">
        <v>1623</v>
      </c>
      <c r="L271" s="5" t="s">
        <v>679</v>
      </c>
      <c r="M271" s="76" t="s">
        <v>1613</v>
      </c>
      <c r="N271" s="54" t="s">
        <v>1614</v>
      </c>
      <c r="O271" s="1" t="s">
        <v>1615</v>
      </c>
      <c r="P271" s="374"/>
    </row>
    <row r="272" spans="1:18" ht="17">
      <c r="A272" s="3" t="s">
        <v>583</v>
      </c>
      <c r="B272" s="197" t="s">
        <v>6</v>
      </c>
      <c r="C272" s="3" t="s">
        <v>4</v>
      </c>
      <c r="D272" s="3" t="s">
        <v>5</v>
      </c>
      <c r="E272" s="3">
        <v>3</v>
      </c>
      <c r="F272" s="279" t="s">
        <v>95</v>
      </c>
      <c r="G272" s="3" t="s">
        <v>9</v>
      </c>
      <c r="H272" s="6">
        <v>12680056</v>
      </c>
      <c r="I272" s="73" t="s">
        <v>471</v>
      </c>
      <c r="J272" s="6" t="s">
        <v>469</v>
      </c>
      <c r="K272" s="66" t="s">
        <v>1624</v>
      </c>
      <c r="L272" s="5" t="s">
        <v>679</v>
      </c>
      <c r="M272" s="76" t="s">
        <v>1613</v>
      </c>
      <c r="N272" s="54" t="s">
        <v>1614</v>
      </c>
      <c r="O272" s="1" t="s">
        <v>1615</v>
      </c>
      <c r="P272" s="374"/>
    </row>
    <row r="273" spans="1:18" ht="17">
      <c r="A273" s="3" t="s">
        <v>583</v>
      </c>
      <c r="B273" s="197" t="s">
        <v>6</v>
      </c>
      <c r="C273" s="3" t="s">
        <v>4</v>
      </c>
      <c r="D273" s="3" t="s">
        <v>5</v>
      </c>
      <c r="E273" s="3">
        <v>3</v>
      </c>
      <c r="F273" s="279" t="s">
        <v>95</v>
      </c>
      <c r="G273" s="3" t="s">
        <v>10</v>
      </c>
      <c r="H273" s="69" t="s">
        <v>1104</v>
      </c>
      <c r="I273" s="133" t="s">
        <v>1018</v>
      </c>
      <c r="J273" s="69" t="s">
        <v>1105</v>
      </c>
      <c r="K273" s="66" t="s">
        <v>1912</v>
      </c>
      <c r="L273" s="5" t="s">
        <v>679</v>
      </c>
      <c r="M273" s="76" t="s">
        <v>1613</v>
      </c>
      <c r="N273" s="54" t="s">
        <v>1614</v>
      </c>
      <c r="O273" s="1" t="s">
        <v>1615</v>
      </c>
      <c r="P273" s="375"/>
    </row>
    <row r="274" spans="1:18" ht="17">
      <c r="A274" s="3" t="s">
        <v>583</v>
      </c>
      <c r="B274" s="197" t="s">
        <v>6</v>
      </c>
      <c r="C274" s="3" t="s">
        <v>4</v>
      </c>
      <c r="D274" s="3" t="s">
        <v>5</v>
      </c>
      <c r="E274" s="3">
        <v>3</v>
      </c>
      <c r="F274" s="279" t="s">
        <v>96</v>
      </c>
      <c r="G274" s="3" t="s">
        <v>8</v>
      </c>
      <c r="H274" s="5" t="s">
        <v>1106</v>
      </c>
      <c r="I274" s="133" t="s">
        <v>258</v>
      </c>
      <c r="J274" s="5" t="s">
        <v>1107</v>
      </c>
      <c r="K274" s="66" t="s">
        <v>1913</v>
      </c>
      <c r="L274" s="5" t="s">
        <v>679</v>
      </c>
      <c r="M274" s="79" t="s">
        <v>1613</v>
      </c>
      <c r="N274" s="54" t="s">
        <v>1614</v>
      </c>
      <c r="O274" s="1" t="s">
        <v>1615</v>
      </c>
      <c r="P274" s="371" t="s">
        <v>1108</v>
      </c>
      <c r="R274" s="136"/>
    </row>
    <row r="275" spans="1:18" ht="17">
      <c r="A275" s="3" t="s">
        <v>583</v>
      </c>
      <c r="B275" s="197" t="s">
        <v>6</v>
      </c>
      <c r="C275" s="3" t="s">
        <v>4</v>
      </c>
      <c r="D275" s="3" t="s">
        <v>5</v>
      </c>
      <c r="E275" s="3">
        <v>3</v>
      </c>
      <c r="F275" s="279" t="s">
        <v>96</v>
      </c>
      <c r="G275" s="3" t="s">
        <v>9</v>
      </c>
      <c r="H275" s="5" t="s">
        <v>1109</v>
      </c>
      <c r="I275" s="133" t="s">
        <v>916</v>
      </c>
      <c r="J275" s="5" t="s">
        <v>1110</v>
      </c>
      <c r="K275" s="66" t="s">
        <v>1111</v>
      </c>
      <c r="L275" s="5" t="s">
        <v>679</v>
      </c>
      <c r="M275" s="79" t="s">
        <v>1613</v>
      </c>
      <c r="N275" s="54" t="s">
        <v>1614</v>
      </c>
      <c r="O275" s="1" t="s">
        <v>1615</v>
      </c>
      <c r="P275" s="371" t="s">
        <v>1112</v>
      </c>
      <c r="R275" s="136"/>
    </row>
    <row r="276" spans="1:18" ht="17">
      <c r="A276" s="3" t="s">
        <v>583</v>
      </c>
      <c r="B276" s="197" t="s">
        <v>6</v>
      </c>
      <c r="C276" s="3" t="s">
        <v>4</v>
      </c>
      <c r="D276" s="3" t="s">
        <v>5</v>
      </c>
      <c r="E276" s="3">
        <v>3</v>
      </c>
      <c r="F276" s="279" t="s">
        <v>96</v>
      </c>
      <c r="G276" s="3" t="s">
        <v>10</v>
      </c>
      <c r="H276" s="5" t="s">
        <v>1113</v>
      </c>
      <c r="I276" s="133" t="s">
        <v>970</v>
      </c>
      <c r="J276" s="5" t="s">
        <v>1114</v>
      </c>
      <c r="K276" s="66" t="s">
        <v>1115</v>
      </c>
      <c r="L276" s="5" t="s">
        <v>679</v>
      </c>
      <c r="M276" s="79" t="s">
        <v>1613</v>
      </c>
      <c r="N276" s="54" t="s">
        <v>1614</v>
      </c>
      <c r="O276" s="1" t="s">
        <v>1615</v>
      </c>
      <c r="P276" s="371" t="s">
        <v>1116</v>
      </c>
      <c r="R276" s="136"/>
    </row>
    <row r="277" spans="1:18" ht="17">
      <c r="A277" s="3" t="s">
        <v>583</v>
      </c>
      <c r="B277" s="197" t="s">
        <v>6</v>
      </c>
      <c r="C277" s="3" t="s">
        <v>4</v>
      </c>
      <c r="D277" s="3" t="s">
        <v>5</v>
      </c>
      <c r="E277" s="3">
        <v>3</v>
      </c>
      <c r="F277" s="279" t="s">
        <v>97</v>
      </c>
      <c r="G277" s="3" t="s">
        <v>8</v>
      </c>
      <c r="H277" s="100" t="s">
        <v>1625</v>
      </c>
      <c r="I277" s="49"/>
      <c r="J277" s="100" t="s">
        <v>1626</v>
      </c>
      <c r="K277" s="4"/>
      <c r="L277" s="5" t="s">
        <v>679</v>
      </c>
      <c r="M277" s="2"/>
      <c r="N277" s="54"/>
      <c r="O277" s="1"/>
      <c r="P277" s="374"/>
    </row>
    <row r="278" spans="1:18" ht="17">
      <c r="A278" s="3" t="s">
        <v>583</v>
      </c>
      <c r="B278" s="197" t="s">
        <v>6</v>
      </c>
      <c r="C278" s="3" t="s">
        <v>4</v>
      </c>
      <c r="D278" s="3" t="s">
        <v>5</v>
      </c>
      <c r="E278" s="3" t="s">
        <v>229</v>
      </c>
      <c r="F278" s="279" t="s">
        <v>97</v>
      </c>
      <c r="G278" s="3" t="s">
        <v>9</v>
      </c>
      <c r="H278" s="100" t="s">
        <v>1625</v>
      </c>
      <c r="I278" s="49"/>
      <c r="J278" s="100" t="s">
        <v>1626</v>
      </c>
      <c r="K278" s="4"/>
      <c r="L278" s="5" t="s">
        <v>679</v>
      </c>
      <c r="M278" s="2"/>
      <c r="N278" s="54"/>
      <c r="O278" s="1"/>
      <c r="P278" s="5"/>
    </row>
    <row r="279" spans="1:18" ht="17">
      <c r="A279" s="3" t="s">
        <v>583</v>
      </c>
      <c r="B279" s="197" t="s">
        <v>6</v>
      </c>
      <c r="C279" s="3" t="s">
        <v>4</v>
      </c>
      <c r="D279" s="3" t="s">
        <v>5</v>
      </c>
      <c r="E279" s="3">
        <v>3</v>
      </c>
      <c r="F279" s="279" t="s">
        <v>97</v>
      </c>
      <c r="G279" s="3" t="s">
        <v>10</v>
      </c>
      <c r="H279" s="100" t="s">
        <v>1625</v>
      </c>
      <c r="I279" s="49"/>
      <c r="J279" s="100" t="s">
        <v>1626</v>
      </c>
      <c r="K279" s="36"/>
      <c r="L279" s="5" t="s">
        <v>679</v>
      </c>
      <c r="M279" s="2"/>
      <c r="N279" s="54"/>
      <c r="O279" s="1"/>
      <c r="P279" s="5"/>
    </row>
    <row r="280" spans="1:18" ht="17">
      <c r="A280" s="3" t="s">
        <v>583</v>
      </c>
      <c r="B280" s="197" t="s">
        <v>6</v>
      </c>
      <c r="C280" s="3" t="s">
        <v>4</v>
      </c>
      <c r="D280" s="3" t="s">
        <v>5</v>
      </c>
      <c r="E280" s="3">
        <v>3</v>
      </c>
      <c r="F280" s="279" t="s">
        <v>98</v>
      </c>
      <c r="G280" s="3" t="s">
        <v>8</v>
      </c>
      <c r="H280" s="5" t="s">
        <v>1117</v>
      </c>
      <c r="I280" s="133" t="s">
        <v>271</v>
      </c>
      <c r="J280" s="5" t="s">
        <v>1118</v>
      </c>
      <c r="K280" s="66" t="s">
        <v>1119</v>
      </c>
      <c r="L280" s="5" t="s">
        <v>679</v>
      </c>
      <c r="M280" s="79" t="s">
        <v>1613</v>
      </c>
      <c r="N280" s="54" t="s">
        <v>1614</v>
      </c>
      <c r="O280" s="1" t="s">
        <v>1615</v>
      </c>
      <c r="P280" s="371" t="s">
        <v>1120</v>
      </c>
    </row>
    <row r="281" spans="1:18" ht="17">
      <c r="A281" s="3" t="s">
        <v>583</v>
      </c>
      <c r="B281" s="197" t="s">
        <v>6</v>
      </c>
      <c r="C281" s="3" t="s">
        <v>4</v>
      </c>
      <c r="D281" s="3" t="s">
        <v>5</v>
      </c>
      <c r="E281" s="11">
        <v>3</v>
      </c>
      <c r="F281" s="279" t="s">
        <v>98</v>
      </c>
      <c r="G281" s="3" t="s">
        <v>9</v>
      </c>
      <c r="H281" s="5" t="s">
        <v>1121</v>
      </c>
      <c r="I281" s="133" t="s">
        <v>260</v>
      </c>
      <c r="J281" s="5" t="s">
        <v>1122</v>
      </c>
      <c r="K281" s="66" t="s">
        <v>1123</v>
      </c>
      <c r="L281" s="5" t="s">
        <v>679</v>
      </c>
      <c r="M281" s="79" t="s">
        <v>1613</v>
      </c>
      <c r="N281" s="54" t="s">
        <v>1614</v>
      </c>
      <c r="O281" s="1" t="s">
        <v>1615</v>
      </c>
      <c r="P281" s="371" t="s">
        <v>1124</v>
      </c>
    </row>
    <row r="282" spans="1:18" ht="17">
      <c r="A282" s="3" t="s">
        <v>583</v>
      </c>
      <c r="B282" s="197" t="s">
        <v>6</v>
      </c>
      <c r="C282" s="3" t="s">
        <v>4</v>
      </c>
      <c r="D282" s="11" t="s">
        <v>5</v>
      </c>
      <c r="E282" s="11">
        <v>3</v>
      </c>
      <c r="F282" s="280" t="s">
        <v>98</v>
      </c>
      <c r="G282" s="11" t="s">
        <v>10</v>
      </c>
      <c r="H282" s="5">
        <v>11680376</v>
      </c>
      <c r="I282" s="73" t="s">
        <v>1125</v>
      </c>
      <c r="J282" s="6" t="s">
        <v>378</v>
      </c>
      <c r="K282" s="52" t="s">
        <v>1627</v>
      </c>
      <c r="L282" s="5" t="s">
        <v>679</v>
      </c>
      <c r="M282" s="53" t="s">
        <v>1613</v>
      </c>
      <c r="N282" s="54" t="s">
        <v>1614</v>
      </c>
      <c r="O282" s="1" t="s">
        <v>1615</v>
      </c>
      <c r="P282" s="372"/>
    </row>
    <row r="283" spans="1:18" ht="17">
      <c r="A283" s="3" t="s">
        <v>583</v>
      </c>
      <c r="B283" s="240" t="s">
        <v>6</v>
      </c>
      <c r="C283" s="11" t="s">
        <v>4</v>
      </c>
      <c r="D283" s="11" t="s">
        <v>5</v>
      </c>
      <c r="E283" s="11">
        <v>3</v>
      </c>
      <c r="F283" s="280" t="s">
        <v>99</v>
      </c>
      <c r="G283" s="11" t="s">
        <v>8</v>
      </c>
      <c r="H283" s="6">
        <v>13441126</v>
      </c>
      <c r="I283" s="73" t="s">
        <v>422</v>
      </c>
      <c r="J283" s="6" t="s">
        <v>1628</v>
      </c>
      <c r="K283" s="66" t="s">
        <v>1629</v>
      </c>
      <c r="L283" s="5" t="s">
        <v>1612</v>
      </c>
      <c r="M283" s="79" t="s">
        <v>1613</v>
      </c>
      <c r="N283" s="54" t="s">
        <v>1614</v>
      </c>
      <c r="O283" s="1" t="s">
        <v>1615</v>
      </c>
      <c r="P283" s="372"/>
    </row>
    <row r="284" spans="1:18" ht="17">
      <c r="A284" s="3" t="s">
        <v>583</v>
      </c>
      <c r="B284" s="240" t="s">
        <v>6</v>
      </c>
      <c r="C284" s="11" t="s">
        <v>4</v>
      </c>
      <c r="D284" s="11" t="s">
        <v>5</v>
      </c>
      <c r="E284" s="11">
        <v>3</v>
      </c>
      <c r="F284" s="280" t="s">
        <v>99</v>
      </c>
      <c r="G284" s="11" t="s">
        <v>9</v>
      </c>
      <c r="H284" s="5" t="s">
        <v>1126</v>
      </c>
      <c r="I284" s="133" t="s">
        <v>470</v>
      </c>
      <c r="J284" s="5" t="s">
        <v>1127</v>
      </c>
      <c r="K284" s="66" t="s">
        <v>1128</v>
      </c>
      <c r="L284" s="5" t="s">
        <v>679</v>
      </c>
      <c r="M284" s="79" t="s">
        <v>1613</v>
      </c>
      <c r="N284" s="54" t="s">
        <v>1614</v>
      </c>
      <c r="O284" s="1" t="s">
        <v>1615</v>
      </c>
      <c r="P284" s="371" t="s">
        <v>1129</v>
      </c>
    </row>
    <row r="285" spans="1:18" ht="17">
      <c r="A285" s="3" t="s">
        <v>583</v>
      </c>
      <c r="B285" s="240" t="s">
        <v>6</v>
      </c>
      <c r="C285" s="11" t="s">
        <v>4</v>
      </c>
      <c r="D285" s="11" t="s">
        <v>5</v>
      </c>
      <c r="E285" s="11">
        <v>3</v>
      </c>
      <c r="F285" s="280" t="s">
        <v>99</v>
      </c>
      <c r="G285" s="11" t="s">
        <v>10</v>
      </c>
      <c r="H285" s="58" t="s">
        <v>1630</v>
      </c>
      <c r="I285" s="59" t="s">
        <v>1901</v>
      </c>
      <c r="J285" s="60" t="s">
        <v>1631</v>
      </c>
      <c r="K285" s="81" t="s">
        <v>1632</v>
      </c>
      <c r="L285" s="5" t="s">
        <v>679</v>
      </c>
      <c r="M285" s="53" t="s">
        <v>1613</v>
      </c>
      <c r="N285" s="54" t="s">
        <v>1614</v>
      </c>
      <c r="O285" s="1" t="s">
        <v>1615</v>
      </c>
      <c r="P285" s="374"/>
    </row>
    <row r="286" spans="1:18" ht="17">
      <c r="A286" s="3" t="s">
        <v>583</v>
      </c>
      <c r="B286" s="240" t="s">
        <v>6</v>
      </c>
      <c r="C286" s="11" t="s">
        <v>4</v>
      </c>
      <c r="D286" s="11" t="s">
        <v>5</v>
      </c>
      <c r="E286" s="11">
        <v>3</v>
      </c>
      <c r="F286" s="280" t="s">
        <v>100</v>
      </c>
      <c r="G286" s="11" t="s">
        <v>8</v>
      </c>
      <c r="H286" s="5" t="s">
        <v>1130</v>
      </c>
      <c r="I286" s="133" t="s">
        <v>273</v>
      </c>
      <c r="J286" s="5" t="s">
        <v>1131</v>
      </c>
      <c r="K286" s="66" t="s">
        <v>1132</v>
      </c>
      <c r="L286" s="5" t="s">
        <v>679</v>
      </c>
      <c r="M286" s="79" t="s">
        <v>1613</v>
      </c>
      <c r="N286" s="54" t="s">
        <v>1614</v>
      </c>
      <c r="O286" s="1" t="s">
        <v>1615</v>
      </c>
      <c r="P286" s="371" t="s">
        <v>1133</v>
      </c>
    </row>
    <row r="287" spans="1:18" ht="17">
      <c r="A287" s="3" t="s">
        <v>583</v>
      </c>
      <c r="B287" s="240" t="s">
        <v>6</v>
      </c>
      <c r="C287" s="11" t="s">
        <v>4</v>
      </c>
      <c r="D287" s="11" t="s">
        <v>5</v>
      </c>
      <c r="E287" s="11">
        <v>3</v>
      </c>
      <c r="F287" s="280" t="s">
        <v>100</v>
      </c>
      <c r="G287" s="11" t="s">
        <v>9</v>
      </c>
      <c r="H287" s="5" t="s">
        <v>1134</v>
      </c>
      <c r="I287" s="133" t="s">
        <v>916</v>
      </c>
      <c r="J287" s="5" t="s">
        <v>1135</v>
      </c>
      <c r="K287" s="66" t="s">
        <v>1136</v>
      </c>
      <c r="L287" s="5" t="s">
        <v>679</v>
      </c>
      <c r="M287" s="79" t="s">
        <v>1613</v>
      </c>
      <c r="N287" s="54" t="s">
        <v>1614</v>
      </c>
      <c r="O287" s="1" t="s">
        <v>1615</v>
      </c>
      <c r="P287" s="371" t="s">
        <v>1137</v>
      </c>
    </row>
    <row r="288" spans="1:18" ht="17">
      <c r="A288" s="3" t="s">
        <v>583</v>
      </c>
      <c r="B288" s="240" t="s">
        <v>6</v>
      </c>
      <c r="C288" s="11" t="s">
        <v>4</v>
      </c>
      <c r="D288" s="11" t="s">
        <v>5</v>
      </c>
      <c r="E288" s="11">
        <v>3</v>
      </c>
      <c r="F288" s="280" t="s">
        <v>100</v>
      </c>
      <c r="G288" s="11" t="s">
        <v>10</v>
      </c>
      <c r="H288" s="5" t="s">
        <v>1138</v>
      </c>
      <c r="I288" s="133" t="s">
        <v>791</v>
      </c>
      <c r="J288" s="5" t="s">
        <v>1139</v>
      </c>
      <c r="K288" s="66" t="s">
        <v>1140</v>
      </c>
      <c r="L288" s="5" t="s">
        <v>679</v>
      </c>
      <c r="M288" s="79" t="s">
        <v>1613</v>
      </c>
      <c r="N288" s="54" t="s">
        <v>1614</v>
      </c>
      <c r="O288" s="1" t="s">
        <v>1615</v>
      </c>
      <c r="P288" s="371" t="s">
        <v>1141</v>
      </c>
    </row>
    <row r="289" spans="1:16" ht="17">
      <c r="A289" s="3" t="s">
        <v>583</v>
      </c>
      <c r="B289" s="240" t="s">
        <v>6</v>
      </c>
      <c r="C289" s="11" t="s">
        <v>4</v>
      </c>
      <c r="D289" s="11" t="s">
        <v>5</v>
      </c>
      <c r="E289" s="11">
        <v>3</v>
      </c>
      <c r="F289" s="280" t="s">
        <v>101</v>
      </c>
      <c r="G289" s="11" t="s">
        <v>8</v>
      </c>
      <c r="H289" s="116">
        <v>13190193</v>
      </c>
      <c r="I289" s="73" t="s">
        <v>1142</v>
      </c>
      <c r="J289" s="6" t="s">
        <v>534</v>
      </c>
      <c r="K289" s="66" t="s">
        <v>1633</v>
      </c>
      <c r="L289" s="5" t="s">
        <v>679</v>
      </c>
      <c r="M289" s="53" t="s">
        <v>1613</v>
      </c>
      <c r="N289" s="54" t="s">
        <v>1614</v>
      </c>
      <c r="O289" s="1" t="s">
        <v>1615</v>
      </c>
      <c r="P289" s="21"/>
    </row>
    <row r="290" spans="1:16" ht="17">
      <c r="A290" s="3" t="s">
        <v>583</v>
      </c>
      <c r="B290" s="240" t="s">
        <v>6</v>
      </c>
      <c r="C290" s="11" t="s">
        <v>4</v>
      </c>
      <c r="D290" s="11" t="s">
        <v>5</v>
      </c>
      <c r="E290" s="11">
        <v>3</v>
      </c>
      <c r="F290" s="280" t="s">
        <v>101</v>
      </c>
      <c r="G290" s="11" t="s">
        <v>9</v>
      </c>
      <c r="H290" s="53">
        <v>12130196</v>
      </c>
      <c r="I290" s="84" t="s">
        <v>1143</v>
      </c>
      <c r="J290" s="6" t="s">
        <v>1634</v>
      </c>
      <c r="K290" s="66" t="s">
        <v>1635</v>
      </c>
      <c r="L290" s="5" t="s">
        <v>679</v>
      </c>
      <c r="M290" s="53" t="s">
        <v>1613</v>
      </c>
      <c r="N290" s="54" t="s">
        <v>1614</v>
      </c>
      <c r="O290" s="1" t="s">
        <v>1615</v>
      </c>
      <c r="P290" s="12"/>
    </row>
    <row r="291" spans="1:16" ht="17">
      <c r="A291" s="3" t="s">
        <v>583</v>
      </c>
      <c r="B291" s="240" t="s">
        <v>6</v>
      </c>
      <c r="C291" s="11" t="s">
        <v>4</v>
      </c>
      <c r="D291" s="11" t="s">
        <v>5</v>
      </c>
      <c r="E291" s="11">
        <v>3</v>
      </c>
      <c r="F291" s="280" t="s">
        <v>101</v>
      </c>
      <c r="G291" s="11" t="s">
        <v>10</v>
      </c>
      <c r="H291" s="116">
        <v>13190212</v>
      </c>
      <c r="I291" s="73" t="s">
        <v>1142</v>
      </c>
      <c r="J291" s="6" t="s">
        <v>536</v>
      </c>
      <c r="K291" s="66" t="s">
        <v>1636</v>
      </c>
      <c r="L291" s="5" t="s">
        <v>1612</v>
      </c>
      <c r="M291" s="53" t="s">
        <v>1613</v>
      </c>
      <c r="N291" s="54" t="s">
        <v>1614</v>
      </c>
      <c r="O291" s="1" t="s">
        <v>1615</v>
      </c>
      <c r="P291" s="21"/>
    </row>
    <row r="292" spans="1:16" ht="17">
      <c r="A292" s="3" t="s">
        <v>583</v>
      </c>
      <c r="B292" s="240" t="s">
        <v>6</v>
      </c>
      <c r="C292" s="11" t="s">
        <v>4</v>
      </c>
      <c r="D292" s="11" t="s">
        <v>5</v>
      </c>
      <c r="E292" s="11">
        <v>3</v>
      </c>
      <c r="F292" s="280" t="s">
        <v>102</v>
      </c>
      <c r="G292" s="11" t="s">
        <v>8</v>
      </c>
      <c r="H292" s="210" t="s">
        <v>1637</v>
      </c>
      <c r="I292" s="302"/>
      <c r="J292" s="209" t="s">
        <v>1637</v>
      </c>
      <c r="K292" s="3"/>
      <c r="L292" s="5"/>
      <c r="M292" s="1"/>
      <c r="N292" s="54"/>
      <c r="O292" s="1"/>
      <c r="P292" s="92" t="s">
        <v>1638</v>
      </c>
    </row>
    <row r="293" spans="1:16" ht="17">
      <c r="A293" s="3" t="s">
        <v>583</v>
      </c>
      <c r="B293" s="240" t="s">
        <v>6</v>
      </c>
      <c r="C293" s="11" t="s">
        <v>4</v>
      </c>
      <c r="D293" s="11" t="s">
        <v>5</v>
      </c>
      <c r="E293" s="11">
        <v>3</v>
      </c>
      <c r="F293" s="280" t="s">
        <v>102</v>
      </c>
      <c r="G293" s="11" t="s">
        <v>9</v>
      </c>
      <c r="H293" s="210" t="s">
        <v>1637</v>
      </c>
      <c r="I293" s="302"/>
      <c r="J293" s="209" t="s">
        <v>1637</v>
      </c>
      <c r="K293" s="4"/>
      <c r="L293" s="5"/>
      <c r="M293" s="1"/>
      <c r="N293" s="54"/>
      <c r="O293" s="1"/>
      <c r="P293" s="92" t="s">
        <v>1638</v>
      </c>
    </row>
    <row r="294" spans="1:16" ht="17">
      <c r="A294" s="3" t="s">
        <v>583</v>
      </c>
      <c r="B294" s="240" t="s">
        <v>6</v>
      </c>
      <c r="C294" s="11" t="s">
        <v>4</v>
      </c>
      <c r="D294" s="11" t="s">
        <v>5</v>
      </c>
      <c r="E294" s="11">
        <v>3</v>
      </c>
      <c r="F294" s="280" t="s">
        <v>102</v>
      </c>
      <c r="G294" s="11" t="s">
        <v>10</v>
      </c>
      <c r="H294" s="210" t="s">
        <v>1637</v>
      </c>
      <c r="I294" s="303"/>
      <c r="J294" s="209" t="s">
        <v>1637</v>
      </c>
      <c r="K294" s="3"/>
      <c r="L294" s="5"/>
      <c r="M294" s="1"/>
      <c r="N294" s="54"/>
      <c r="O294" s="1"/>
      <c r="P294" s="92" t="s">
        <v>1638</v>
      </c>
    </row>
    <row r="295" spans="1:16" ht="17">
      <c r="A295" s="3" t="s">
        <v>583</v>
      </c>
      <c r="B295" s="240" t="s">
        <v>6</v>
      </c>
      <c r="C295" s="11" t="s">
        <v>4</v>
      </c>
      <c r="D295" s="11" t="s">
        <v>5</v>
      </c>
      <c r="E295" s="11">
        <v>3</v>
      </c>
      <c r="F295" s="280" t="s">
        <v>103</v>
      </c>
      <c r="G295" s="11" t="s">
        <v>8</v>
      </c>
      <c r="H295" s="101" t="s">
        <v>1625</v>
      </c>
      <c r="I295" s="45"/>
      <c r="J295" s="101" t="s">
        <v>1639</v>
      </c>
      <c r="K295" s="35"/>
      <c r="L295" s="5"/>
      <c r="M295" s="12"/>
      <c r="N295" s="54"/>
      <c r="O295" s="1"/>
      <c r="P295" s="12"/>
    </row>
    <row r="296" spans="1:16" ht="17">
      <c r="A296" s="3" t="s">
        <v>583</v>
      </c>
      <c r="B296" s="240" t="s">
        <v>6</v>
      </c>
      <c r="C296" s="11" t="s">
        <v>4</v>
      </c>
      <c r="D296" s="11" t="s">
        <v>5</v>
      </c>
      <c r="E296" s="11">
        <v>3</v>
      </c>
      <c r="F296" s="280" t="s">
        <v>103</v>
      </c>
      <c r="G296" s="11" t="s">
        <v>9</v>
      </c>
      <c r="H296" s="101" t="s">
        <v>1625</v>
      </c>
      <c r="I296" s="45"/>
      <c r="J296" s="101" t="s">
        <v>1639</v>
      </c>
      <c r="K296" s="36"/>
      <c r="L296" s="5"/>
      <c r="M296" s="43"/>
      <c r="N296" s="54"/>
      <c r="O296" s="1"/>
      <c r="P296" s="12"/>
    </row>
    <row r="297" spans="1:16" ht="17">
      <c r="A297" s="3" t="s">
        <v>583</v>
      </c>
      <c r="B297" s="240" t="s">
        <v>6</v>
      </c>
      <c r="C297" s="11" t="s">
        <v>4</v>
      </c>
      <c r="D297" s="11" t="s">
        <v>5</v>
      </c>
      <c r="E297" s="11">
        <v>3</v>
      </c>
      <c r="F297" s="280" t="s">
        <v>103</v>
      </c>
      <c r="G297" s="11" t="s">
        <v>10</v>
      </c>
      <c r="H297" s="101" t="s">
        <v>1625</v>
      </c>
      <c r="I297" s="45"/>
      <c r="J297" s="101" t="s">
        <v>1639</v>
      </c>
      <c r="K297" s="36"/>
      <c r="L297" s="5"/>
      <c r="M297" s="43"/>
      <c r="N297" s="54"/>
      <c r="O297" s="1"/>
      <c r="P297" s="20"/>
    </row>
    <row r="298" spans="1:16" ht="17">
      <c r="A298" s="3" t="s">
        <v>583</v>
      </c>
      <c r="B298" s="240" t="s">
        <v>6</v>
      </c>
      <c r="C298" s="11" t="s">
        <v>4</v>
      </c>
      <c r="D298" s="11" t="s">
        <v>5</v>
      </c>
      <c r="E298" s="11">
        <v>3</v>
      </c>
      <c r="F298" s="280" t="s">
        <v>104</v>
      </c>
      <c r="G298" s="11" t="s">
        <v>8</v>
      </c>
      <c r="H298" s="5" t="s">
        <v>1144</v>
      </c>
      <c r="I298" s="133" t="s">
        <v>1327</v>
      </c>
      <c r="J298" s="5" t="s">
        <v>1145</v>
      </c>
      <c r="K298" s="66" t="s">
        <v>1146</v>
      </c>
      <c r="L298" s="5" t="s">
        <v>679</v>
      </c>
      <c r="M298" s="79" t="s">
        <v>1613</v>
      </c>
      <c r="N298" s="54" t="s">
        <v>1614</v>
      </c>
      <c r="O298" s="1" t="s">
        <v>1615</v>
      </c>
      <c r="P298" s="371" t="s">
        <v>1147</v>
      </c>
    </row>
    <row r="299" spans="1:16" ht="17">
      <c r="A299" s="3" t="s">
        <v>583</v>
      </c>
      <c r="B299" s="240" t="s">
        <v>6</v>
      </c>
      <c r="C299" s="11" t="s">
        <v>4</v>
      </c>
      <c r="D299" s="11" t="s">
        <v>5</v>
      </c>
      <c r="E299" s="11">
        <v>3</v>
      </c>
      <c r="F299" s="280" t="s">
        <v>104</v>
      </c>
      <c r="G299" s="11" t="s">
        <v>9</v>
      </c>
      <c r="H299" s="5" t="s">
        <v>1148</v>
      </c>
      <c r="I299" s="133" t="s">
        <v>1001</v>
      </c>
      <c r="J299" s="5" t="s">
        <v>1149</v>
      </c>
      <c r="K299" s="66" t="s">
        <v>1150</v>
      </c>
      <c r="L299" s="5" t="s">
        <v>679</v>
      </c>
      <c r="M299" s="79" t="s">
        <v>1613</v>
      </c>
      <c r="N299" s="54" t="s">
        <v>1614</v>
      </c>
      <c r="O299" s="1" t="s">
        <v>1615</v>
      </c>
      <c r="P299" s="371" t="s">
        <v>1151</v>
      </c>
    </row>
    <row r="300" spans="1:16" ht="17">
      <c r="A300" s="3" t="s">
        <v>583</v>
      </c>
      <c r="B300" s="240" t="s">
        <v>6</v>
      </c>
      <c r="C300" s="11" t="s">
        <v>4</v>
      </c>
      <c r="D300" s="11" t="s">
        <v>5</v>
      </c>
      <c r="E300" s="11">
        <v>3</v>
      </c>
      <c r="F300" s="280" t="s">
        <v>104</v>
      </c>
      <c r="G300" s="11" t="s">
        <v>10</v>
      </c>
      <c r="H300" s="5" t="s">
        <v>1152</v>
      </c>
      <c r="I300" s="133" t="s">
        <v>290</v>
      </c>
      <c r="J300" s="5" t="s">
        <v>1153</v>
      </c>
      <c r="K300" s="66" t="s">
        <v>1154</v>
      </c>
      <c r="L300" s="5" t="s">
        <v>679</v>
      </c>
      <c r="M300" s="79" t="s">
        <v>1613</v>
      </c>
      <c r="N300" s="54" t="s">
        <v>1614</v>
      </c>
      <c r="O300" s="1" t="s">
        <v>1615</v>
      </c>
      <c r="P300" s="371" t="s">
        <v>1155</v>
      </c>
    </row>
    <row r="301" spans="1:16" ht="17">
      <c r="A301" s="3" t="s">
        <v>583</v>
      </c>
      <c r="B301" s="240" t="s">
        <v>6</v>
      </c>
      <c r="C301" s="11" t="s">
        <v>4</v>
      </c>
      <c r="D301" s="11" t="s">
        <v>5</v>
      </c>
      <c r="E301" s="11">
        <v>3</v>
      </c>
      <c r="F301" s="280" t="s">
        <v>105</v>
      </c>
      <c r="G301" s="11" t="s">
        <v>8</v>
      </c>
      <c r="H301" s="6">
        <v>11080963</v>
      </c>
      <c r="I301" s="119" t="s">
        <v>481</v>
      </c>
      <c r="J301" s="6" t="s">
        <v>1640</v>
      </c>
      <c r="K301" s="66" t="s">
        <v>1641</v>
      </c>
      <c r="L301" s="5" t="s">
        <v>1612</v>
      </c>
      <c r="M301" s="79" t="s">
        <v>1613</v>
      </c>
      <c r="N301" s="54" t="s">
        <v>1614</v>
      </c>
      <c r="O301" s="1" t="s">
        <v>1615</v>
      </c>
      <c r="P301" s="374"/>
    </row>
    <row r="302" spans="1:16" ht="17">
      <c r="A302" s="3" t="s">
        <v>583</v>
      </c>
      <c r="B302" s="240" t="s">
        <v>6</v>
      </c>
      <c r="C302" s="11" t="s">
        <v>4</v>
      </c>
      <c r="D302" s="11" t="s">
        <v>5</v>
      </c>
      <c r="E302" s="11">
        <v>3</v>
      </c>
      <c r="F302" s="280" t="s">
        <v>105</v>
      </c>
      <c r="G302" s="11" t="s">
        <v>9</v>
      </c>
      <c r="H302" s="5" t="s">
        <v>1156</v>
      </c>
      <c r="I302" s="133" t="s">
        <v>264</v>
      </c>
      <c r="J302" s="5" t="s">
        <v>1157</v>
      </c>
      <c r="K302" s="66" t="s">
        <v>1158</v>
      </c>
      <c r="L302" s="5" t="s">
        <v>1904</v>
      </c>
      <c r="M302" s="79" t="s">
        <v>1613</v>
      </c>
      <c r="N302" s="54" t="s">
        <v>1614</v>
      </c>
      <c r="O302" s="1" t="s">
        <v>1615</v>
      </c>
      <c r="P302" s="371" t="s">
        <v>1159</v>
      </c>
    </row>
    <row r="303" spans="1:16" ht="17">
      <c r="A303" s="3" t="s">
        <v>583</v>
      </c>
      <c r="B303" s="240" t="s">
        <v>6</v>
      </c>
      <c r="C303" s="11" t="s">
        <v>4</v>
      </c>
      <c r="D303" s="11" t="s">
        <v>5</v>
      </c>
      <c r="E303" s="11">
        <v>3</v>
      </c>
      <c r="F303" s="280" t="s">
        <v>105</v>
      </c>
      <c r="G303" s="11" t="s">
        <v>10</v>
      </c>
      <c r="H303" s="6">
        <v>11430681</v>
      </c>
      <c r="I303" s="73" t="s">
        <v>1125</v>
      </c>
      <c r="J303" s="6" t="s">
        <v>361</v>
      </c>
      <c r="K303" s="66" t="s">
        <v>1642</v>
      </c>
      <c r="L303" s="5" t="s">
        <v>1904</v>
      </c>
      <c r="M303" s="53" t="s">
        <v>1613</v>
      </c>
      <c r="N303" s="54" t="s">
        <v>1614</v>
      </c>
      <c r="O303" s="1" t="s">
        <v>1615</v>
      </c>
      <c r="P303" s="374"/>
    </row>
    <row r="304" spans="1:16" ht="17">
      <c r="A304" s="3" t="s">
        <v>583</v>
      </c>
      <c r="B304" s="240" t="s">
        <v>6</v>
      </c>
      <c r="C304" s="11" t="s">
        <v>4</v>
      </c>
      <c r="D304" s="11" t="s">
        <v>5</v>
      </c>
      <c r="E304" s="11">
        <v>3</v>
      </c>
      <c r="F304" s="280" t="s">
        <v>106</v>
      </c>
      <c r="G304" s="11" t="s">
        <v>8</v>
      </c>
      <c r="H304" s="116">
        <v>12381172</v>
      </c>
      <c r="I304" s="119" t="s">
        <v>1063</v>
      </c>
      <c r="J304" s="6" t="s">
        <v>475</v>
      </c>
      <c r="K304" s="66" t="s">
        <v>1643</v>
      </c>
      <c r="L304" s="5" t="s">
        <v>1904</v>
      </c>
      <c r="M304" s="53" t="s">
        <v>1613</v>
      </c>
      <c r="N304" s="54" t="s">
        <v>1614</v>
      </c>
      <c r="O304" s="1" t="s">
        <v>1615</v>
      </c>
      <c r="P304" s="374"/>
    </row>
    <row r="305" spans="1:16" ht="17">
      <c r="A305" s="3" t="s">
        <v>583</v>
      </c>
      <c r="B305" s="240" t="s">
        <v>6</v>
      </c>
      <c r="C305" s="11" t="s">
        <v>4</v>
      </c>
      <c r="D305" s="11" t="s">
        <v>5</v>
      </c>
      <c r="E305" s="11">
        <v>3</v>
      </c>
      <c r="F305" s="280" t="s">
        <v>106</v>
      </c>
      <c r="G305" s="11" t="s">
        <v>9</v>
      </c>
      <c r="H305" s="69" t="s">
        <v>1160</v>
      </c>
      <c r="I305" s="133" t="s">
        <v>472</v>
      </c>
      <c r="J305" s="69" t="s">
        <v>1161</v>
      </c>
      <c r="K305" s="66" t="s">
        <v>1911</v>
      </c>
      <c r="L305" s="5" t="s">
        <v>1904</v>
      </c>
      <c r="M305" s="53" t="s">
        <v>1613</v>
      </c>
      <c r="N305" s="54" t="s">
        <v>1614</v>
      </c>
      <c r="O305" s="1" t="s">
        <v>1615</v>
      </c>
      <c r="P305" s="374"/>
    </row>
    <row r="306" spans="1:16" ht="17">
      <c r="A306" s="3" t="s">
        <v>583</v>
      </c>
      <c r="B306" s="240" t="s">
        <v>6</v>
      </c>
      <c r="C306" s="11" t="s">
        <v>4</v>
      </c>
      <c r="D306" s="11" t="s">
        <v>5</v>
      </c>
      <c r="E306" s="11">
        <v>3</v>
      </c>
      <c r="F306" s="280" t="s">
        <v>106</v>
      </c>
      <c r="G306" s="11" t="s">
        <v>10</v>
      </c>
      <c r="H306" s="5" t="s">
        <v>502</v>
      </c>
      <c r="I306" s="66" t="s">
        <v>1162</v>
      </c>
      <c r="J306" s="5" t="s">
        <v>503</v>
      </c>
      <c r="K306" s="66" t="s">
        <v>504</v>
      </c>
      <c r="L306" s="5" t="s">
        <v>1904</v>
      </c>
      <c r="M306" s="6" t="s">
        <v>1613</v>
      </c>
      <c r="N306" s="54" t="s">
        <v>1614</v>
      </c>
      <c r="O306" s="1" t="s">
        <v>1615</v>
      </c>
      <c r="P306" s="374"/>
    </row>
    <row r="307" spans="1:16" ht="17">
      <c r="A307" s="3" t="s">
        <v>583</v>
      </c>
      <c r="B307" s="240" t="s">
        <v>6</v>
      </c>
      <c r="C307" s="11" t="s">
        <v>4</v>
      </c>
      <c r="D307" s="11" t="s">
        <v>5</v>
      </c>
      <c r="E307" s="11">
        <v>3</v>
      </c>
      <c r="F307" s="280" t="s">
        <v>107</v>
      </c>
      <c r="G307" s="11" t="s">
        <v>8</v>
      </c>
      <c r="H307" s="5" t="s">
        <v>1163</v>
      </c>
      <c r="I307" s="133" t="s">
        <v>920</v>
      </c>
      <c r="J307" s="5" t="s">
        <v>1164</v>
      </c>
      <c r="K307" s="66" t="s">
        <v>1165</v>
      </c>
      <c r="L307" s="5" t="s">
        <v>1904</v>
      </c>
      <c r="M307" s="79" t="s">
        <v>1613</v>
      </c>
      <c r="N307" s="54" t="s">
        <v>1614</v>
      </c>
      <c r="O307" s="1" t="s">
        <v>1615</v>
      </c>
      <c r="P307" s="371" t="s">
        <v>1166</v>
      </c>
    </row>
    <row r="308" spans="1:16" ht="17">
      <c r="A308" s="3" t="s">
        <v>583</v>
      </c>
      <c r="B308" s="240" t="s">
        <v>6</v>
      </c>
      <c r="C308" s="11" t="s">
        <v>4</v>
      </c>
      <c r="D308" s="11" t="s">
        <v>5</v>
      </c>
      <c r="E308" s="11">
        <v>3</v>
      </c>
      <c r="F308" s="280" t="s">
        <v>107</v>
      </c>
      <c r="G308" s="11" t="s">
        <v>9</v>
      </c>
      <c r="H308" s="6">
        <v>12750272</v>
      </c>
      <c r="I308" s="73" t="s">
        <v>1167</v>
      </c>
      <c r="J308" s="6" t="s">
        <v>476</v>
      </c>
      <c r="K308" s="66" t="s">
        <v>1644</v>
      </c>
      <c r="L308" s="5" t="s">
        <v>1904</v>
      </c>
      <c r="M308" s="79" t="s">
        <v>1613</v>
      </c>
      <c r="N308" s="54" t="s">
        <v>1614</v>
      </c>
      <c r="O308" s="1" t="s">
        <v>1615</v>
      </c>
      <c r="P308" s="374"/>
    </row>
    <row r="309" spans="1:16" ht="17">
      <c r="A309" s="3" t="s">
        <v>583</v>
      </c>
      <c r="B309" s="240" t="s">
        <v>6</v>
      </c>
      <c r="C309" s="11" t="s">
        <v>4</v>
      </c>
      <c r="D309" s="11" t="s">
        <v>5</v>
      </c>
      <c r="E309" s="11">
        <v>3</v>
      </c>
      <c r="F309" s="280" t="s">
        <v>107</v>
      </c>
      <c r="G309" s="11" t="s">
        <v>10</v>
      </c>
      <c r="H309" s="5" t="s">
        <v>1168</v>
      </c>
      <c r="I309" s="133" t="s">
        <v>260</v>
      </c>
      <c r="J309" s="5" t="s">
        <v>1169</v>
      </c>
      <c r="K309" s="66" t="s">
        <v>1170</v>
      </c>
      <c r="L309" s="5" t="s">
        <v>1904</v>
      </c>
      <c r="M309" s="79" t="s">
        <v>1613</v>
      </c>
      <c r="N309" s="54" t="s">
        <v>1614</v>
      </c>
      <c r="O309" s="1" t="s">
        <v>1615</v>
      </c>
      <c r="P309" s="371" t="s">
        <v>1171</v>
      </c>
    </row>
    <row r="310" spans="1:16" ht="17">
      <c r="A310" s="3" t="s">
        <v>583</v>
      </c>
      <c r="B310" s="240" t="s">
        <v>6</v>
      </c>
      <c r="C310" s="11" t="s">
        <v>4</v>
      </c>
      <c r="D310" s="11" t="s">
        <v>5</v>
      </c>
      <c r="E310" s="11">
        <v>3</v>
      </c>
      <c r="F310" s="280" t="s">
        <v>108</v>
      </c>
      <c r="G310" s="11" t="s">
        <v>8</v>
      </c>
      <c r="H310" s="116">
        <v>12370104</v>
      </c>
      <c r="I310" s="73" t="s">
        <v>1645</v>
      </c>
      <c r="J310" s="6" t="s">
        <v>1646</v>
      </c>
      <c r="K310" s="66" t="s">
        <v>1647</v>
      </c>
      <c r="L310" s="5" t="s">
        <v>1904</v>
      </c>
      <c r="M310" s="53" t="s">
        <v>1613</v>
      </c>
      <c r="N310" s="54" t="s">
        <v>1614</v>
      </c>
      <c r="O310" s="1" t="s">
        <v>1615</v>
      </c>
      <c r="P310" s="5"/>
    </row>
    <row r="311" spans="1:16" ht="17">
      <c r="A311" s="3" t="s">
        <v>583</v>
      </c>
      <c r="B311" s="240" t="s">
        <v>6</v>
      </c>
      <c r="C311" s="11" t="s">
        <v>4</v>
      </c>
      <c r="D311" s="11" t="s">
        <v>5</v>
      </c>
      <c r="E311" s="11">
        <v>3</v>
      </c>
      <c r="F311" s="280" t="s">
        <v>108</v>
      </c>
      <c r="G311" s="11" t="s">
        <v>9</v>
      </c>
      <c r="H311" s="116">
        <v>12370113</v>
      </c>
      <c r="I311" s="73" t="s">
        <v>1645</v>
      </c>
      <c r="J311" s="6" t="s">
        <v>537</v>
      </c>
      <c r="K311" s="66" t="s">
        <v>1648</v>
      </c>
      <c r="L311" s="5" t="s">
        <v>1904</v>
      </c>
      <c r="M311" s="53" t="s">
        <v>1613</v>
      </c>
      <c r="N311" s="54" t="s">
        <v>1614</v>
      </c>
      <c r="O311" s="1" t="s">
        <v>1615</v>
      </c>
      <c r="P311" s="5"/>
    </row>
    <row r="312" spans="1:16" ht="17">
      <c r="A312" s="3" t="s">
        <v>583</v>
      </c>
      <c r="B312" s="240" t="s">
        <v>6</v>
      </c>
      <c r="C312" s="11" t="s">
        <v>4</v>
      </c>
      <c r="D312" s="11" t="s">
        <v>5</v>
      </c>
      <c r="E312" s="11">
        <v>3</v>
      </c>
      <c r="F312" s="280" t="s">
        <v>108</v>
      </c>
      <c r="G312" s="11" t="s">
        <v>10</v>
      </c>
      <c r="H312" s="116">
        <v>12370475</v>
      </c>
      <c r="I312" s="73" t="s">
        <v>1645</v>
      </c>
      <c r="J312" s="6" t="s">
        <v>478</v>
      </c>
      <c r="K312" s="66" t="s">
        <v>1649</v>
      </c>
      <c r="L312" s="5" t="s">
        <v>1904</v>
      </c>
      <c r="M312" s="53" t="s">
        <v>1613</v>
      </c>
      <c r="N312" s="54" t="s">
        <v>1614</v>
      </c>
      <c r="O312" s="1" t="s">
        <v>1615</v>
      </c>
      <c r="P312" s="5"/>
    </row>
    <row r="313" spans="1:16" ht="17">
      <c r="A313" s="3" t="s">
        <v>583</v>
      </c>
      <c r="B313" s="240" t="s">
        <v>6</v>
      </c>
      <c r="C313" s="11" t="s">
        <v>4</v>
      </c>
      <c r="D313" s="11" t="s">
        <v>5</v>
      </c>
      <c r="E313" s="11">
        <v>3</v>
      </c>
      <c r="F313" s="280" t="s">
        <v>109</v>
      </c>
      <c r="G313" s="11" t="s">
        <v>8</v>
      </c>
      <c r="H313" s="5" t="s">
        <v>289</v>
      </c>
      <c r="I313" s="66" t="s">
        <v>1172</v>
      </c>
      <c r="J313" s="5" t="s">
        <v>239</v>
      </c>
      <c r="K313" s="81" t="s">
        <v>1650</v>
      </c>
      <c r="L313" s="5" t="s">
        <v>1904</v>
      </c>
      <c r="M313" s="53" t="s">
        <v>1613</v>
      </c>
      <c r="N313" s="54" t="s">
        <v>1614</v>
      </c>
      <c r="O313" s="1" t="s">
        <v>1615</v>
      </c>
      <c r="P313" s="5"/>
    </row>
    <row r="314" spans="1:16" ht="17">
      <c r="A314" s="3" t="s">
        <v>583</v>
      </c>
      <c r="B314" s="240" t="s">
        <v>6</v>
      </c>
      <c r="C314" s="11" t="s">
        <v>4</v>
      </c>
      <c r="D314" s="11" t="s">
        <v>5</v>
      </c>
      <c r="E314" s="11">
        <v>3</v>
      </c>
      <c r="F314" s="280" t="s">
        <v>109</v>
      </c>
      <c r="G314" s="11" t="s">
        <v>9</v>
      </c>
      <c r="H314" s="5" t="s">
        <v>287</v>
      </c>
      <c r="I314" s="66" t="s">
        <v>1173</v>
      </c>
      <c r="J314" s="5" t="s">
        <v>236</v>
      </c>
      <c r="K314" s="52" t="s">
        <v>1651</v>
      </c>
      <c r="L314" s="5" t="s">
        <v>1904</v>
      </c>
      <c r="M314" s="53" t="s">
        <v>1613</v>
      </c>
      <c r="N314" s="54" t="s">
        <v>1614</v>
      </c>
      <c r="O314" s="1" t="s">
        <v>1615</v>
      </c>
      <c r="P314" s="5"/>
    </row>
    <row r="315" spans="1:16" ht="17">
      <c r="A315" s="3" t="s">
        <v>583</v>
      </c>
      <c r="B315" s="240" t="s">
        <v>6</v>
      </c>
      <c r="C315" s="11" t="s">
        <v>4</v>
      </c>
      <c r="D315" s="11" t="s">
        <v>5</v>
      </c>
      <c r="E315" s="11">
        <v>3</v>
      </c>
      <c r="F315" s="280" t="s">
        <v>109</v>
      </c>
      <c r="G315" s="11" t="s">
        <v>10</v>
      </c>
      <c r="H315" s="5" t="s">
        <v>288</v>
      </c>
      <c r="I315" s="66" t="s">
        <v>1172</v>
      </c>
      <c r="J315" s="5" t="s">
        <v>237</v>
      </c>
      <c r="K315" s="134" t="s">
        <v>1652</v>
      </c>
      <c r="L315" s="5" t="s">
        <v>1904</v>
      </c>
      <c r="M315" s="79" t="s">
        <v>1613</v>
      </c>
      <c r="N315" s="54" t="s">
        <v>1614</v>
      </c>
      <c r="O315" s="1" t="s">
        <v>1615</v>
      </c>
      <c r="P315" s="5"/>
    </row>
    <row r="316" spans="1:16" ht="17">
      <c r="A316" s="3" t="s">
        <v>583</v>
      </c>
      <c r="B316" s="240" t="s">
        <v>6</v>
      </c>
      <c r="C316" s="11" t="s">
        <v>4</v>
      </c>
      <c r="D316" s="11" t="s">
        <v>5</v>
      </c>
      <c r="E316" s="11">
        <v>3</v>
      </c>
      <c r="F316" s="280" t="s">
        <v>110</v>
      </c>
      <c r="G316" s="11" t="s">
        <v>8</v>
      </c>
      <c r="H316" s="5" t="s">
        <v>1174</v>
      </c>
      <c r="I316" s="133" t="s">
        <v>267</v>
      </c>
      <c r="J316" s="5" t="s">
        <v>1175</v>
      </c>
      <c r="K316" s="66" t="s">
        <v>1176</v>
      </c>
      <c r="L316" s="5" t="s">
        <v>1904</v>
      </c>
      <c r="M316" s="79" t="s">
        <v>1613</v>
      </c>
      <c r="N316" s="54" t="s">
        <v>1614</v>
      </c>
      <c r="O316" s="1" t="s">
        <v>1615</v>
      </c>
      <c r="P316" s="371" t="s">
        <v>1177</v>
      </c>
    </row>
    <row r="317" spans="1:16" ht="17">
      <c r="A317" s="3" t="s">
        <v>583</v>
      </c>
      <c r="B317" s="240" t="s">
        <v>6</v>
      </c>
      <c r="C317" s="11" t="s">
        <v>4</v>
      </c>
      <c r="D317" s="11" t="s">
        <v>5</v>
      </c>
      <c r="E317" s="11">
        <v>3</v>
      </c>
      <c r="F317" s="280" t="s">
        <v>110</v>
      </c>
      <c r="G317" s="11" t="s">
        <v>9</v>
      </c>
      <c r="H317" s="6">
        <v>11083133</v>
      </c>
      <c r="I317" s="73" t="s">
        <v>1178</v>
      </c>
      <c r="J317" s="6" t="s">
        <v>1653</v>
      </c>
      <c r="K317" s="66" t="s">
        <v>1654</v>
      </c>
      <c r="L317" s="5" t="s">
        <v>1612</v>
      </c>
      <c r="M317" s="53" t="s">
        <v>1613</v>
      </c>
      <c r="N317" s="54" t="s">
        <v>1614</v>
      </c>
      <c r="O317" s="1" t="s">
        <v>1615</v>
      </c>
      <c r="P317" s="372"/>
    </row>
    <row r="318" spans="1:16" ht="17">
      <c r="A318" s="3" t="s">
        <v>583</v>
      </c>
      <c r="B318" s="240" t="s">
        <v>6</v>
      </c>
      <c r="C318" s="11" t="s">
        <v>4</v>
      </c>
      <c r="D318" s="11" t="s">
        <v>5</v>
      </c>
      <c r="E318" s="11">
        <v>3</v>
      </c>
      <c r="F318" s="280" t="s">
        <v>110</v>
      </c>
      <c r="G318" s="11" t="s">
        <v>10</v>
      </c>
      <c r="H318" s="6">
        <v>11430043</v>
      </c>
      <c r="I318" s="73" t="s">
        <v>481</v>
      </c>
      <c r="J318" s="6" t="s">
        <v>480</v>
      </c>
      <c r="K318" s="66" t="s">
        <v>1655</v>
      </c>
      <c r="L318" s="5" t="s">
        <v>1612</v>
      </c>
      <c r="M318" s="53" t="s">
        <v>1613</v>
      </c>
      <c r="N318" s="54" t="s">
        <v>1614</v>
      </c>
      <c r="O318" s="1" t="s">
        <v>1615</v>
      </c>
      <c r="P318" s="372"/>
    </row>
    <row r="319" spans="1:16" ht="17">
      <c r="A319" s="3" t="s">
        <v>583</v>
      </c>
      <c r="B319" s="240" t="s">
        <v>6</v>
      </c>
      <c r="C319" s="11" t="s">
        <v>4</v>
      </c>
      <c r="D319" s="11" t="s">
        <v>5</v>
      </c>
      <c r="E319" s="11">
        <v>3</v>
      </c>
      <c r="F319" s="280" t="s">
        <v>111</v>
      </c>
      <c r="G319" s="11" t="s">
        <v>8</v>
      </c>
      <c r="H319" s="6">
        <v>12390880</v>
      </c>
      <c r="I319" s="73" t="s">
        <v>1179</v>
      </c>
      <c r="J319" s="6" t="s">
        <v>1656</v>
      </c>
      <c r="K319" s="66" t="s">
        <v>1657</v>
      </c>
      <c r="L319" s="5" t="s">
        <v>679</v>
      </c>
      <c r="M319" s="79" t="s">
        <v>1613</v>
      </c>
      <c r="N319" s="54" t="s">
        <v>1614</v>
      </c>
      <c r="O319" s="1" t="s">
        <v>1615</v>
      </c>
      <c r="P319" s="373"/>
    </row>
    <row r="320" spans="1:16" ht="17">
      <c r="A320" s="3" t="s">
        <v>583</v>
      </c>
      <c r="B320" s="240" t="s">
        <v>6</v>
      </c>
      <c r="C320" s="11" t="s">
        <v>4</v>
      </c>
      <c r="D320" s="11" t="s">
        <v>5</v>
      </c>
      <c r="E320" s="11">
        <v>3</v>
      </c>
      <c r="F320" s="280" t="s">
        <v>111</v>
      </c>
      <c r="G320" s="11" t="s">
        <v>9</v>
      </c>
      <c r="H320" s="69" t="s">
        <v>1180</v>
      </c>
      <c r="I320" s="133" t="s">
        <v>541</v>
      </c>
      <c r="J320" s="69" t="s">
        <v>1181</v>
      </c>
      <c r="K320" s="66" t="s">
        <v>1658</v>
      </c>
      <c r="L320" s="5" t="s">
        <v>679</v>
      </c>
      <c r="M320" s="79" t="s">
        <v>1613</v>
      </c>
      <c r="N320" s="54" t="s">
        <v>1614</v>
      </c>
      <c r="O320" s="1" t="s">
        <v>1615</v>
      </c>
      <c r="P320" s="373"/>
    </row>
    <row r="321" spans="1:18" ht="17">
      <c r="A321" s="3" t="s">
        <v>583</v>
      </c>
      <c r="B321" s="240" t="s">
        <v>6</v>
      </c>
      <c r="C321" s="11" t="s">
        <v>4</v>
      </c>
      <c r="D321" s="11" t="s">
        <v>5</v>
      </c>
      <c r="E321" s="11">
        <v>3</v>
      </c>
      <c r="F321" s="280" t="s">
        <v>111</v>
      </c>
      <c r="G321" s="11" t="s">
        <v>10</v>
      </c>
      <c r="H321" s="6">
        <v>12390746</v>
      </c>
      <c r="I321" s="73" t="s">
        <v>1179</v>
      </c>
      <c r="J321" s="6" t="s">
        <v>533</v>
      </c>
      <c r="K321" s="66" t="s">
        <v>1659</v>
      </c>
      <c r="L321" s="5" t="s">
        <v>679</v>
      </c>
      <c r="M321" s="79" t="s">
        <v>1613</v>
      </c>
      <c r="N321" s="54" t="s">
        <v>1614</v>
      </c>
      <c r="O321" s="1" t="s">
        <v>1615</v>
      </c>
      <c r="P321" s="373"/>
    </row>
    <row r="322" spans="1:18" ht="17">
      <c r="A322" s="3" t="s">
        <v>583</v>
      </c>
      <c r="B322" s="240" t="s">
        <v>6</v>
      </c>
      <c r="C322" s="11" t="s">
        <v>4</v>
      </c>
      <c r="D322" s="11" t="s">
        <v>5</v>
      </c>
      <c r="E322" s="11">
        <v>3</v>
      </c>
      <c r="F322" s="280" t="s">
        <v>112</v>
      </c>
      <c r="G322" s="11" t="s">
        <v>8</v>
      </c>
      <c r="H322" s="5" t="s">
        <v>1182</v>
      </c>
      <c r="I322" s="133" t="s">
        <v>791</v>
      </c>
      <c r="J322" s="5" t="s">
        <v>1183</v>
      </c>
      <c r="K322" s="66" t="s">
        <v>1184</v>
      </c>
      <c r="L322" s="5" t="s">
        <v>679</v>
      </c>
      <c r="M322" s="79" t="s">
        <v>1613</v>
      </c>
      <c r="N322" s="54" t="s">
        <v>1614</v>
      </c>
      <c r="O322" s="1" t="s">
        <v>1615</v>
      </c>
      <c r="P322" s="371" t="s">
        <v>1185</v>
      </c>
    </row>
    <row r="323" spans="1:18" ht="17">
      <c r="A323" s="3" t="s">
        <v>583</v>
      </c>
      <c r="B323" s="240" t="s">
        <v>6</v>
      </c>
      <c r="C323" s="11" t="s">
        <v>4</v>
      </c>
      <c r="D323" s="11" t="s">
        <v>5</v>
      </c>
      <c r="E323" s="11">
        <v>3</v>
      </c>
      <c r="F323" s="280" t="s">
        <v>112</v>
      </c>
      <c r="G323" s="11" t="s">
        <v>9</v>
      </c>
      <c r="H323" s="5" t="s">
        <v>291</v>
      </c>
      <c r="I323" s="66" t="s">
        <v>1186</v>
      </c>
      <c r="J323" s="5" t="s">
        <v>241</v>
      </c>
      <c r="K323" s="81" t="s">
        <v>1660</v>
      </c>
      <c r="L323" s="5" t="s">
        <v>679</v>
      </c>
      <c r="M323" s="53" t="s">
        <v>1613</v>
      </c>
      <c r="N323" s="54" t="s">
        <v>1614</v>
      </c>
      <c r="O323" s="1" t="s">
        <v>1615</v>
      </c>
      <c r="P323" s="5"/>
    </row>
    <row r="324" spans="1:18" ht="17">
      <c r="A324" s="3" t="s">
        <v>583</v>
      </c>
      <c r="B324" s="240" t="s">
        <v>6</v>
      </c>
      <c r="C324" s="11" t="s">
        <v>4</v>
      </c>
      <c r="D324" s="11" t="s">
        <v>5</v>
      </c>
      <c r="E324" s="11">
        <v>3</v>
      </c>
      <c r="F324" s="280" t="s">
        <v>112</v>
      </c>
      <c r="G324" s="11" t="s">
        <v>10</v>
      </c>
      <c r="H324" s="5">
        <v>11220454</v>
      </c>
      <c r="I324" s="73" t="s">
        <v>508</v>
      </c>
      <c r="J324" s="6" t="s">
        <v>364</v>
      </c>
      <c r="K324" s="66" t="s">
        <v>365</v>
      </c>
      <c r="L324" s="5" t="s">
        <v>679</v>
      </c>
      <c r="M324" s="53" t="s">
        <v>1613</v>
      </c>
      <c r="N324" s="54" t="s">
        <v>1614</v>
      </c>
      <c r="O324" s="1" t="s">
        <v>1615</v>
      </c>
      <c r="P324" s="5"/>
    </row>
    <row r="325" spans="1:18" ht="17">
      <c r="A325" s="3" t="s">
        <v>583</v>
      </c>
      <c r="B325" s="240" t="s">
        <v>6</v>
      </c>
      <c r="C325" s="11" t="s">
        <v>4</v>
      </c>
      <c r="D325" s="11" t="s">
        <v>5</v>
      </c>
      <c r="E325" s="11">
        <v>3</v>
      </c>
      <c r="F325" s="280" t="s">
        <v>113</v>
      </c>
      <c r="G325" s="11" t="s">
        <v>8</v>
      </c>
      <c r="H325" s="5" t="s">
        <v>1187</v>
      </c>
      <c r="I325" s="133" t="s">
        <v>513</v>
      </c>
      <c r="J325" s="5" t="s">
        <v>1188</v>
      </c>
      <c r="K325" s="66" t="s">
        <v>1189</v>
      </c>
      <c r="L325" s="5" t="s">
        <v>679</v>
      </c>
      <c r="M325" s="53" t="s">
        <v>1613</v>
      </c>
      <c r="N325" s="54" t="s">
        <v>1614</v>
      </c>
      <c r="O325" s="1" t="s">
        <v>1615</v>
      </c>
      <c r="P325" s="140" t="s">
        <v>1190</v>
      </c>
      <c r="R325"/>
    </row>
    <row r="326" spans="1:18" ht="17">
      <c r="A326" s="3" t="s">
        <v>583</v>
      </c>
      <c r="B326" s="240" t="s">
        <v>6</v>
      </c>
      <c r="C326" s="11" t="s">
        <v>4</v>
      </c>
      <c r="D326" s="11" t="s">
        <v>5</v>
      </c>
      <c r="E326" s="11">
        <v>3</v>
      </c>
      <c r="F326" s="280" t="s">
        <v>113</v>
      </c>
      <c r="G326" s="11" t="s">
        <v>9</v>
      </c>
      <c r="H326" s="5" t="s">
        <v>1191</v>
      </c>
      <c r="I326" s="133" t="s">
        <v>796</v>
      </c>
      <c r="J326" s="5" t="s">
        <v>1192</v>
      </c>
      <c r="K326" s="66" t="s">
        <v>1193</v>
      </c>
      <c r="L326" s="5" t="s">
        <v>679</v>
      </c>
      <c r="M326" s="53" t="s">
        <v>1613</v>
      </c>
      <c r="N326" s="54" t="s">
        <v>1614</v>
      </c>
      <c r="O326" s="1" t="s">
        <v>1615</v>
      </c>
      <c r="P326" s="140" t="s">
        <v>1194</v>
      </c>
      <c r="R326"/>
    </row>
    <row r="327" spans="1:18" ht="17">
      <c r="A327" s="3" t="s">
        <v>583</v>
      </c>
      <c r="B327" s="240" t="s">
        <v>6</v>
      </c>
      <c r="C327" s="11" t="s">
        <v>4</v>
      </c>
      <c r="D327" s="11" t="s">
        <v>5</v>
      </c>
      <c r="E327" s="11">
        <v>3</v>
      </c>
      <c r="F327" s="280" t="s">
        <v>113</v>
      </c>
      <c r="G327" s="11" t="s">
        <v>10</v>
      </c>
      <c r="H327" s="5" t="s">
        <v>1195</v>
      </c>
      <c r="I327" s="133" t="s">
        <v>263</v>
      </c>
      <c r="J327" s="5" t="s">
        <v>1196</v>
      </c>
      <c r="K327" s="66" t="s">
        <v>1197</v>
      </c>
      <c r="L327" s="5" t="s">
        <v>679</v>
      </c>
      <c r="M327" s="53" t="s">
        <v>1613</v>
      </c>
      <c r="N327" s="54" t="s">
        <v>1614</v>
      </c>
      <c r="O327" s="1" t="s">
        <v>1615</v>
      </c>
      <c r="P327" s="140" t="s">
        <v>1198</v>
      </c>
      <c r="R327"/>
    </row>
    <row r="328" spans="1:18" ht="17">
      <c r="A328" s="3" t="s">
        <v>583</v>
      </c>
      <c r="B328" s="240" t="s">
        <v>6</v>
      </c>
      <c r="C328" s="11" t="s">
        <v>4</v>
      </c>
      <c r="D328" s="11" t="s">
        <v>5</v>
      </c>
      <c r="E328" s="11">
        <v>3</v>
      </c>
      <c r="F328" s="280" t="s">
        <v>114</v>
      </c>
      <c r="G328" s="11" t="s">
        <v>8</v>
      </c>
      <c r="H328" s="5" t="s">
        <v>1199</v>
      </c>
      <c r="I328" s="133" t="s">
        <v>264</v>
      </c>
      <c r="J328" s="5" t="s">
        <v>1200</v>
      </c>
      <c r="K328" s="66" t="s">
        <v>1201</v>
      </c>
      <c r="L328" s="5" t="s">
        <v>679</v>
      </c>
      <c r="M328" s="53" t="s">
        <v>1613</v>
      </c>
      <c r="N328" s="54" t="s">
        <v>1614</v>
      </c>
      <c r="O328" s="1" t="s">
        <v>1615</v>
      </c>
      <c r="P328" s="140" t="s">
        <v>1202</v>
      </c>
      <c r="R328"/>
    </row>
    <row r="329" spans="1:18" ht="17">
      <c r="A329" s="3" t="s">
        <v>583</v>
      </c>
      <c r="B329" s="240" t="s">
        <v>6</v>
      </c>
      <c r="C329" s="11" t="s">
        <v>4</v>
      </c>
      <c r="D329" s="11" t="s">
        <v>5</v>
      </c>
      <c r="E329" s="11">
        <v>3</v>
      </c>
      <c r="F329" s="280" t="s">
        <v>114</v>
      </c>
      <c r="G329" s="11" t="s">
        <v>9</v>
      </c>
      <c r="H329" s="5" t="s">
        <v>1203</v>
      </c>
      <c r="I329" s="133" t="s">
        <v>912</v>
      </c>
      <c r="J329" s="5" t="s">
        <v>1204</v>
      </c>
      <c r="K329" s="66" t="s">
        <v>1205</v>
      </c>
      <c r="L329" s="5" t="s">
        <v>679</v>
      </c>
      <c r="M329" s="53" t="s">
        <v>1613</v>
      </c>
      <c r="N329" s="54" t="s">
        <v>1614</v>
      </c>
      <c r="O329" s="1" t="s">
        <v>1615</v>
      </c>
      <c r="P329" s="140" t="s">
        <v>1206</v>
      </c>
      <c r="R329"/>
    </row>
    <row r="330" spans="1:18" ht="17">
      <c r="A330" s="3" t="s">
        <v>583</v>
      </c>
      <c r="B330" s="240" t="s">
        <v>6</v>
      </c>
      <c r="C330" s="11" t="s">
        <v>4</v>
      </c>
      <c r="D330" s="11" t="s">
        <v>5</v>
      </c>
      <c r="E330" s="11">
        <v>3</v>
      </c>
      <c r="F330" s="280" t="s">
        <v>114</v>
      </c>
      <c r="G330" s="11" t="s">
        <v>10</v>
      </c>
      <c r="H330" s="5" t="s">
        <v>1207</v>
      </c>
      <c r="I330" s="133" t="s">
        <v>1054</v>
      </c>
      <c r="J330" s="5" t="s">
        <v>1208</v>
      </c>
      <c r="K330" s="66" t="s">
        <v>1209</v>
      </c>
      <c r="L330" s="5" t="s">
        <v>679</v>
      </c>
      <c r="M330" s="53" t="s">
        <v>1613</v>
      </c>
      <c r="N330" s="54" t="s">
        <v>1614</v>
      </c>
      <c r="O330" s="1" t="s">
        <v>1615</v>
      </c>
      <c r="P330" s="140" t="s">
        <v>1210</v>
      </c>
      <c r="R330"/>
    </row>
    <row r="331" spans="1:18" ht="17">
      <c r="A331" s="3" t="s">
        <v>583</v>
      </c>
      <c r="B331" s="240" t="s">
        <v>6</v>
      </c>
      <c r="C331" s="11" t="s">
        <v>4</v>
      </c>
      <c r="D331" s="11" t="s">
        <v>5</v>
      </c>
      <c r="E331" s="11">
        <v>3</v>
      </c>
      <c r="F331" s="280" t="s">
        <v>115</v>
      </c>
      <c r="G331" s="11" t="s">
        <v>8</v>
      </c>
      <c r="H331" s="5" t="s">
        <v>1211</v>
      </c>
      <c r="I331" s="133" t="s">
        <v>1661</v>
      </c>
      <c r="J331" s="5" t="s">
        <v>1212</v>
      </c>
      <c r="K331" s="66" t="s">
        <v>1213</v>
      </c>
      <c r="L331" s="5" t="s">
        <v>679</v>
      </c>
      <c r="M331" s="53" t="s">
        <v>1613</v>
      </c>
      <c r="N331" s="54" t="s">
        <v>1614</v>
      </c>
      <c r="O331" s="1" t="s">
        <v>1615</v>
      </c>
      <c r="P331" s="140" t="s">
        <v>1214</v>
      </c>
      <c r="R331"/>
    </row>
    <row r="332" spans="1:18" ht="17">
      <c r="A332" s="3" t="s">
        <v>583</v>
      </c>
      <c r="B332" s="240" t="s">
        <v>6</v>
      </c>
      <c r="C332" s="11" t="s">
        <v>4</v>
      </c>
      <c r="D332" s="11" t="s">
        <v>5</v>
      </c>
      <c r="E332" s="11">
        <v>3</v>
      </c>
      <c r="F332" s="280" t="s">
        <v>115</v>
      </c>
      <c r="G332" s="11" t="s">
        <v>9</v>
      </c>
      <c r="H332" s="5" t="s">
        <v>1215</v>
      </c>
      <c r="I332" s="133" t="s">
        <v>262</v>
      </c>
      <c r="J332" s="5" t="s">
        <v>1216</v>
      </c>
      <c r="K332" s="66" t="s">
        <v>1217</v>
      </c>
      <c r="L332" s="5" t="s">
        <v>679</v>
      </c>
      <c r="M332" s="53" t="s">
        <v>1613</v>
      </c>
      <c r="N332" s="54" t="s">
        <v>1614</v>
      </c>
      <c r="O332" s="1" t="s">
        <v>1615</v>
      </c>
      <c r="P332" s="140" t="s">
        <v>1218</v>
      </c>
      <c r="R332"/>
    </row>
    <row r="333" spans="1:18" ht="17">
      <c r="A333" s="3" t="s">
        <v>583</v>
      </c>
      <c r="B333" s="240" t="s">
        <v>6</v>
      </c>
      <c r="C333" s="11" t="s">
        <v>4</v>
      </c>
      <c r="D333" s="11" t="s">
        <v>5</v>
      </c>
      <c r="E333" s="11">
        <v>3</v>
      </c>
      <c r="F333" s="280" t="s">
        <v>115</v>
      </c>
      <c r="G333" s="11" t="s">
        <v>10</v>
      </c>
      <c r="H333" s="5" t="s">
        <v>1219</v>
      </c>
      <c r="I333" s="133" t="s">
        <v>267</v>
      </c>
      <c r="J333" s="5" t="s">
        <v>1220</v>
      </c>
      <c r="K333" s="66" t="s">
        <v>1221</v>
      </c>
      <c r="L333" s="5" t="s">
        <v>679</v>
      </c>
      <c r="M333" s="53" t="s">
        <v>1613</v>
      </c>
      <c r="N333" s="54" t="s">
        <v>1614</v>
      </c>
      <c r="O333" s="1" t="s">
        <v>1615</v>
      </c>
      <c r="P333" s="140" t="s">
        <v>1222</v>
      </c>
      <c r="R333"/>
    </row>
    <row r="334" spans="1:18" ht="17">
      <c r="A334" s="3" t="s">
        <v>583</v>
      </c>
      <c r="B334" s="240" t="s">
        <v>6</v>
      </c>
      <c r="C334" s="11" t="s">
        <v>4</v>
      </c>
      <c r="D334" s="11" t="s">
        <v>5</v>
      </c>
      <c r="E334" s="11">
        <v>3</v>
      </c>
      <c r="F334" s="280" t="s">
        <v>116</v>
      </c>
      <c r="G334" s="11" t="s">
        <v>8</v>
      </c>
      <c r="H334" s="5" t="s">
        <v>1223</v>
      </c>
      <c r="I334" s="133" t="s">
        <v>264</v>
      </c>
      <c r="J334" s="5" t="s">
        <v>1224</v>
      </c>
      <c r="K334" s="66" t="s">
        <v>1225</v>
      </c>
      <c r="L334" s="5" t="s">
        <v>679</v>
      </c>
      <c r="M334" s="53" t="s">
        <v>1613</v>
      </c>
      <c r="N334" s="54" t="s">
        <v>1614</v>
      </c>
      <c r="O334" s="1" t="s">
        <v>1615</v>
      </c>
      <c r="P334" s="140" t="s">
        <v>1226</v>
      </c>
      <c r="R334"/>
    </row>
    <row r="335" spans="1:18" ht="17">
      <c r="A335" s="3" t="s">
        <v>583</v>
      </c>
      <c r="B335" s="240" t="s">
        <v>6</v>
      </c>
      <c r="C335" s="11" t="s">
        <v>4</v>
      </c>
      <c r="D335" s="11" t="s">
        <v>5</v>
      </c>
      <c r="E335" s="11">
        <v>3</v>
      </c>
      <c r="F335" s="280" t="s">
        <v>116</v>
      </c>
      <c r="G335" s="11" t="s">
        <v>9</v>
      </c>
      <c r="H335" s="5" t="s">
        <v>1227</v>
      </c>
      <c r="I335" s="133" t="s">
        <v>970</v>
      </c>
      <c r="J335" s="5" t="s">
        <v>1228</v>
      </c>
      <c r="K335" s="66" t="s">
        <v>1229</v>
      </c>
      <c r="L335" s="5" t="s">
        <v>679</v>
      </c>
      <c r="M335" s="53" t="s">
        <v>1613</v>
      </c>
      <c r="N335" s="54" t="s">
        <v>1614</v>
      </c>
      <c r="O335" s="1" t="s">
        <v>1615</v>
      </c>
      <c r="P335" s="140" t="s">
        <v>1230</v>
      </c>
      <c r="R335"/>
    </row>
    <row r="336" spans="1:18" ht="17">
      <c r="A336" s="3" t="s">
        <v>583</v>
      </c>
      <c r="B336" s="240" t="s">
        <v>6</v>
      </c>
      <c r="C336" s="11" t="s">
        <v>4</v>
      </c>
      <c r="D336" s="11" t="s">
        <v>5</v>
      </c>
      <c r="E336" s="11">
        <v>3</v>
      </c>
      <c r="F336" s="280" t="s">
        <v>116</v>
      </c>
      <c r="G336" s="11" t="s">
        <v>10</v>
      </c>
      <c r="H336" s="65">
        <v>13640462</v>
      </c>
      <c r="I336" s="75" t="s">
        <v>859</v>
      </c>
      <c r="J336" s="65" t="s">
        <v>1662</v>
      </c>
      <c r="K336" s="64" t="s">
        <v>1663</v>
      </c>
      <c r="L336" s="5" t="s">
        <v>679</v>
      </c>
      <c r="M336" s="53" t="s">
        <v>1664</v>
      </c>
      <c r="N336" s="54" t="s">
        <v>1665</v>
      </c>
      <c r="O336" s="1" t="s">
        <v>1666</v>
      </c>
      <c r="P336" s="140"/>
      <c r="R336"/>
    </row>
    <row r="337" spans="1:22" ht="17">
      <c r="A337" s="3" t="s">
        <v>583</v>
      </c>
      <c r="B337" s="240" t="s">
        <v>6</v>
      </c>
      <c r="C337" s="11" t="s">
        <v>4</v>
      </c>
      <c r="D337" s="11" t="s">
        <v>5</v>
      </c>
      <c r="E337" s="11">
        <v>3</v>
      </c>
      <c r="F337" s="280" t="s">
        <v>117</v>
      </c>
      <c r="G337" s="11" t="s">
        <v>8</v>
      </c>
      <c r="H337" s="5" t="s">
        <v>1231</v>
      </c>
      <c r="I337" s="66" t="s">
        <v>264</v>
      </c>
      <c r="J337" s="5" t="s">
        <v>1232</v>
      </c>
      <c r="K337" s="68" t="s">
        <v>1233</v>
      </c>
      <c r="L337" s="5" t="s">
        <v>679</v>
      </c>
      <c r="M337" s="53" t="s">
        <v>1664</v>
      </c>
      <c r="N337" s="54" t="s">
        <v>1665</v>
      </c>
      <c r="O337" s="1" t="s">
        <v>1666</v>
      </c>
      <c r="P337" s="140" t="s">
        <v>1234</v>
      </c>
      <c r="R337"/>
    </row>
    <row r="338" spans="1:22" ht="17">
      <c r="A338" s="3" t="s">
        <v>583</v>
      </c>
      <c r="B338" s="240" t="s">
        <v>6</v>
      </c>
      <c r="C338" s="11" t="s">
        <v>4</v>
      </c>
      <c r="D338" s="11" t="s">
        <v>5</v>
      </c>
      <c r="E338" s="11">
        <v>3</v>
      </c>
      <c r="F338" s="280" t="s">
        <v>117</v>
      </c>
      <c r="G338" s="11" t="s">
        <v>9</v>
      </c>
      <c r="H338" s="5" t="s">
        <v>1235</v>
      </c>
      <c r="I338" s="66" t="s">
        <v>1236</v>
      </c>
      <c r="J338" s="5" t="s">
        <v>1237</v>
      </c>
      <c r="K338" s="68" t="s">
        <v>1238</v>
      </c>
      <c r="L338" s="5" t="s">
        <v>679</v>
      </c>
      <c r="M338" s="53" t="s">
        <v>1664</v>
      </c>
      <c r="N338" s="54" t="s">
        <v>1665</v>
      </c>
      <c r="O338" s="1" t="s">
        <v>1666</v>
      </c>
      <c r="P338" s="140" t="s">
        <v>1239</v>
      </c>
      <c r="R338"/>
    </row>
    <row r="339" spans="1:22" ht="17">
      <c r="A339" s="3" t="s">
        <v>583</v>
      </c>
      <c r="B339" s="240" t="s">
        <v>6</v>
      </c>
      <c r="C339" s="11" t="s">
        <v>4</v>
      </c>
      <c r="D339" s="11" t="s">
        <v>5</v>
      </c>
      <c r="E339" s="11">
        <v>3</v>
      </c>
      <c r="F339" s="280" t="s">
        <v>117</v>
      </c>
      <c r="G339" s="11" t="s">
        <v>10</v>
      </c>
      <c r="H339" s="5" t="s">
        <v>1240</v>
      </c>
      <c r="I339" s="66" t="s">
        <v>259</v>
      </c>
      <c r="J339" s="5" t="s">
        <v>1241</v>
      </c>
      <c r="K339" s="68" t="s">
        <v>1242</v>
      </c>
      <c r="L339" s="5" t="s">
        <v>679</v>
      </c>
      <c r="M339" s="53" t="s">
        <v>1664</v>
      </c>
      <c r="N339" s="54" t="s">
        <v>1665</v>
      </c>
      <c r="O339" s="1" t="s">
        <v>1666</v>
      </c>
      <c r="P339" s="140" t="s">
        <v>1243</v>
      </c>
      <c r="R339"/>
    </row>
    <row r="340" spans="1:22" ht="17">
      <c r="A340" s="3" t="s">
        <v>583</v>
      </c>
      <c r="B340" s="240" t="s">
        <v>6</v>
      </c>
      <c r="C340" s="11" t="s">
        <v>4</v>
      </c>
      <c r="D340" s="11" t="s">
        <v>5</v>
      </c>
      <c r="E340" s="11">
        <v>3</v>
      </c>
      <c r="F340" s="280" t="s">
        <v>118</v>
      </c>
      <c r="G340" s="11" t="s">
        <v>8</v>
      </c>
      <c r="H340" s="185" t="s">
        <v>1667</v>
      </c>
      <c r="I340" s="316" t="s">
        <v>1860</v>
      </c>
      <c r="J340" s="185" t="s">
        <v>2086</v>
      </c>
      <c r="K340" s="189"/>
      <c r="L340" s="186"/>
      <c r="M340" s="249" t="s">
        <v>1668</v>
      </c>
      <c r="N340" s="250"/>
      <c r="O340" s="312" t="s">
        <v>1860</v>
      </c>
      <c r="P340" s="182"/>
      <c r="R340" s="195"/>
      <c r="S340" s="196"/>
      <c r="T340" s="110"/>
    </row>
    <row r="341" spans="1:22" ht="17">
      <c r="A341" s="3" t="s">
        <v>583</v>
      </c>
      <c r="B341" s="240" t="s">
        <v>6</v>
      </c>
      <c r="C341" s="11" t="s">
        <v>4</v>
      </c>
      <c r="D341" s="11" t="s">
        <v>5</v>
      </c>
      <c r="E341" s="11">
        <v>3</v>
      </c>
      <c r="F341" s="280" t="s">
        <v>118</v>
      </c>
      <c r="G341" s="11" t="s">
        <v>9</v>
      </c>
      <c r="H341" s="185" t="s">
        <v>1667</v>
      </c>
      <c r="I341" s="316" t="s">
        <v>1860</v>
      </c>
      <c r="J341" s="185" t="s">
        <v>2086</v>
      </c>
      <c r="K341" s="187"/>
      <c r="L341" s="186"/>
      <c r="M341" s="249" t="s">
        <v>1668</v>
      </c>
      <c r="N341" s="250"/>
      <c r="O341" s="312" t="s">
        <v>1860</v>
      </c>
      <c r="P341" s="182"/>
      <c r="R341" s="85"/>
      <c r="S341" s="86"/>
      <c r="T341" s="85"/>
      <c r="U341" s="136"/>
      <c r="V341" s="85"/>
    </row>
    <row r="342" spans="1:22" ht="17">
      <c r="A342" s="3" t="s">
        <v>583</v>
      </c>
      <c r="B342" s="240" t="s">
        <v>6</v>
      </c>
      <c r="C342" s="11" t="s">
        <v>4</v>
      </c>
      <c r="D342" s="11" t="s">
        <v>5</v>
      </c>
      <c r="E342" s="11">
        <v>3</v>
      </c>
      <c r="F342" s="280" t="s">
        <v>118</v>
      </c>
      <c r="G342" s="11" t="s">
        <v>10</v>
      </c>
      <c r="H342" s="185" t="s">
        <v>1667</v>
      </c>
      <c r="I342" s="316" t="s">
        <v>1860</v>
      </c>
      <c r="J342" s="185" t="s">
        <v>2086</v>
      </c>
      <c r="K342" s="187"/>
      <c r="L342" s="186"/>
      <c r="M342" s="249" t="s">
        <v>1668</v>
      </c>
      <c r="N342" s="250"/>
      <c r="O342" s="312" t="s">
        <v>1860</v>
      </c>
      <c r="P342" s="182"/>
      <c r="R342" s="195"/>
      <c r="S342" s="196"/>
      <c r="T342" s="110"/>
    </row>
    <row r="343" spans="1:22" ht="17">
      <c r="A343" s="3" t="s">
        <v>583</v>
      </c>
      <c r="B343" s="240" t="s">
        <v>6</v>
      </c>
      <c r="C343" s="11" t="s">
        <v>4</v>
      </c>
      <c r="D343" s="11" t="s">
        <v>5</v>
      </c>
      <c r="E343" s="11">
        <v>3</v>
      </c>
      <c r="F343" s="280" t="s">
        <v>119</v>
      </c>
      <c r="G343" s="11" t="s">
        <v>8</v>
      </c>
      <c r="H343" s="185" t="s">
        <v>1669</v>
      </c>
      <c r="I343" s="316" t="s">
        <v>1860</v>
      </c>
      <c r="J343" s="186" t="s">
        <v>1859</v>
      </c>
      <c r="K343" s="187"/>
      <c r="L343" s="188"/>
      <c r="M343" s="249" t="s">
        <v>1668</v>
      </c>
      <c r="N343" s="54"/>
      <c r="O343" s="312" t="s">
        <v>1860</v>
      </c>
      <c r="P343" s="12"/>
    </row>
    <row r="344" spans="1:22" ht="17">
      <c r="A344" s="3" t="s">
        <v>583</v>
      </c>
      <c r="B344" s="240" t="s">
        <v>6</v>
      </c>
      <c r="C344" s="11" t="s">
        <v>4</v>
      </c>
      <c r="D344" s="11" t="s">
        <v>5</v>
      </c>
      <c r="E344" s="11">
        <v>3</v>
      </c>
      <c r="F344" s="280" t="s">
        <v>119</v>
      </c>
      <c r="G344" s="11" t="s">
        <v>9</v>
      </c>
      <c r="H344" s="185" t="s">
        <v>1669</v>
      </c>
      <c r="I344" s="316" t="s">
        <v>1860</v>
      </c>
      <c r="J344" s="186" t="s">
        <v>1859</v>
      </c>
      <c r="K344" s="187"/>
      <c r="L344" s="188"/>
      <c r="M344" s="249" t="s">
        <v>1668</v>
      </c>
      <c r="N344" s="73"/>
      <c r="O344" s="312" t="s">
        <v>1860</v>
      </c>
      <c r="P344" s="21"/>
      <c r="R344" s="195"/>
      <c r="S344" s="196"/>
      <c r="T344" s="110"/>
    </row>
    <row r="345" spans="1:22" ht="17">
      <c r="A345" s="3" t="s">
        <v>583</v>
      </c>
      <c r="B345" s="240" t="s">
        <v>6</v>
      </c>
      <c r="C345" s="11" t="s">
        <v>4</v>
      </c>
      <c r="D345" s="11" t="s">
        <v>5</v>
      </c>
      <c r="E345" s="11">
        <v>3</v>
      </c>
      <c r="F345" s="280" t="s">
        <v>119</v>
      </c>
      <c r="G345" s="11" t="s">
        <v>10</v>
      </c>
      <c r="H345" s="185" t="s">
        <v>1669</v>
      </c>
      <c r="I345" s="316" t="s">
        <v>1860</v>
      </c>
      <c r="J345" s="186" t="s">
        <v>1859</v>
      </c>
      <c r="K345" s="187"/>
      <c r="L345" s="188"/>
      <c r="M345" s="249" t="s">
        <v>1668</v>
      </c>
      <c r="N345" s="54"/>
      <c r="O345" s="312" t="s">
        <v>1860</v>
      </c>
      <c r="P345" s="94"/>
    </row>
    <row r="346" spans="1:22" ht="17">
      <c r="A346" s="3" t="s">
        <v>583</v>
      </c>
      <c r="B346" s="240" t="s">
        <v>6</v>
      </c>
      <c r="C346" s="11" t="s">
        <v>4</v>
      </c>
      <c r="D346" s="11" t="s">
        <v>5</v>
      </c>
      <c r="E346" s="11">
        <v>3</v>
      </c>
      <c r="F346" s="280" t="s">
        <v>120</v>
      </c>
      <c r="G346" s="11" t="s">
        <v>8</v>
      </c>
      <c r="H346" s="186" t="s">
        <v>1244</v>
      </c>
      <c r="I346" s="304" t="s">
        <v>1670</v>
      </c>
      <c r="J346" s="236" t="s">
        <v>1245</v>
      </c>
      <c r="K346" s="369" t="s">
        <v>2064</v>
      </c>
      <c r="L346" s="188"/>
      <c r="M346" s="249" t="s">
        <v>1671</v>
      </c>
      <c r="N346" s="251" t="s">
        <v>736</v>
      </c>
      <c r="O346" s="53" t="s">
        <v>1672</v>
      </c>
      <c r="P346" s="21"/>
    </row>
    <row r="347" spans="1:22" ht="17">
      <c r="A347" s="3" t="s">
        <v>583</v>
      </c>
      <c r="B347" s="240" t="s">
        <v>6</v>
      </c>
      <c r="C347" s="11" t="s">
        <v>4</v>
      </c>
      <c r="D347" s="11" t="s">
        <v>5</v>
      </c>
      <c r="E347" s="11">
        <v>3</v>
      </c>
      <c r="F347" s="280" t="s">
        <v>120</v>
      </c>
      <c r="G347" s="11" t="s">
        <v>9</v>
      </c>
      <c r="H347" s="186" t="s">
        <v>1246</v>
      </c>
      <c r="I347" s="304" t="s">
        <v>1673</v>
      </c>
      <c r="J347" s="236" t="s">
        <v>1247</v>
      </c>
      <c r="K347" s="370" t="s">
        <v>2065</v>
      </c>
      <c r="L347" s="188"/>
      <c r="M347" s="249" t="s">
        <v>1674</v>
      </c>
      <c r="N347" s="251" t="s">
        <v>736</v>
      </c>
      <c r="O347" s="53" t="s">
        <v>1675</v>
      </c>
      <c r="P347" s="21"/>
    </row>
    <row r="348" spans="1:22" ht="17">
      <c r="A348" s="3" t="s">
        <v>583</v>
      </c>
      <c r="B348" s="240" t="s">
        <v>6</v>
      </c>
      <c r="C348" s="11" t="s">
        <v>4</v>
      </c>
      <c r="D348" s="11" t="s">
        <v>5</v>
      </c>
      <c r="E348" s="11">
        <v>3</v>
      </c>
      <c r="F348" s="280" t="s">
        <v>120</v>
      </c>
      <c r="G348" s="11" t="s">
        <v>10</v>
      </c>
      <c r="H348" s="186" t="s">
        <v>1248</v>
      </c>
      <c r="I348" s="304" t="s">
        <v>1676</v>
      </c>
      <c r="J348" s="236" t="s">
        <v>1249</v>
      </c>
      <c r="K348" s="369" t="s">
        <v>2066</v>
      </c>
      <c r="L348" s="188"/>
      <c r="M348" s="249" t="s">
        <v>1674</v>
      </c>
      <c r="N348" s="251" t="s">
        <v>736</v>
      </c>
      <c r="O348" s="53" t="s">
        <v>1675</v>
      </c>
      <c r="P348" s="21"/>
    </row>
    <row r="349" spans="1:22" ht="17">
      <c r="A349" s="3" t="s">
        <v>583</v>
      </c>
      <c r="B349" s="240" t="s">
        <v>6</v>
      </c>
      <c r="C349" s="11" t="s">
        <v>4</v>
      </c>
      <c r="D349" s="11" t="s">
        <v>5</v>
      </c>
      <c r="E349" s="11">
        <v>3</v>
      </c>
      <c r="F349" s="280" t="s">
        <v>121</v>
      </c>
      <c r="G349" s="11" t="s">
        <v>8</v>
      </c>
      <c r="H349" s="186" t="s">
        <v>1250</v>
      </c>
      <c r="I349" s="304" t="s">
        <v>1677</v>
      </c>
      <c r="J349" s="236" t="s">
        <v>1251</v>
      </c>
      <c r="K349" s="369" t="s">
        <v>2067</v>
      </c>
      <c r="L349" s="186"/>
      <c r="M349" s="249" t="s">
        <v>1674</v>
      </c>
      <c r="N349" s="251" t="s">
        <v>736</v>
      </c>
      <c r="O349" s="53" t="s">
        <v>1675</v>
      </c>
      <c r="P349" s="182"/>
    </row>
    <row r="350" spans="1:22" ht="17">
      <c r="A350" s="3" t="s">
        <v>583</v>
      </c>
      <c r="B350" s="240" t="s">
        <v>6</v>
      </c>
      <c r="C350" s="11" t="s">
        <v>4</v>
      </c>
      <c r="D350" s="11" t="s">
        <v>5</v>
      </c>
      <c r="E350" s="11">
        <v>3</v>
      </c>
      <c r="F350" s="280" t="s">
        <v>121</v>
      </c>
      <c r="G350" s="11" t="s">
        <v>9</v>
      </c>
      <c r="H350" s="186" t="s">
        <v>1252</v>
      </c>
      <c r="I350" s="304" t="s">
        <v>1678</v>
      </c>
      <c r="J350" s="236" t="s">
        <v>1253</v>
      </c>
      <c r="K350" s="369" t="s">
        <v>2068</v>
      </c>
      <c r="L350" s="186"/>
      <c r="M350" s="249" t="s">
        <v>1674</v>
      </c>
      <c r="N350" s="237" t="s">
        <v>743</v>
      </c>
      <c r="O350" s="53" t="s">
        <v>1675</v>
      </c>
      <c r="P350" s="182"/>
    </row>
    <row r="351" spans="1:22" ht="17">
      <c r="A351" s="3" t="s">
        <v>583</v>
      </c>
      <c r="B351" s="240" t="s">
        <v>6</v>
      </c>
      <c r="C351" s="11" t="s">
        <v>4</v>
      </c>
      <c r="D351" s="11" t="s">
        <v>5</v>
      </c>
      <c r="E351" s="11">
        <v>3</v>
      </c>
      <c r="F351" s="280" t="s">
        <v>121</v>
      </c>
      <c r="G351" s="11" t="s">
        <v>10</v>
      </c>
      <c r="H351" s="186" t="s">
        <v>1254</v>
      </c>
      <c r="I351" s="304" t="s">
        <v>1679</v>
      </c>
      <c r="J351" s="236" t="s">
        <v>1255</v>
      </c>
      <c r="K351" s="370" t="s">
        <v>2069</v>
      </c>
      <c r="L351" s="186"/>
      <c r="M351" s="249" t="s">
        <v>1674</v>
      </c>
      <c r="N351" s="237" t="s">
        <v>743</v>
      </c>
      <c r="O351" s="53" t="s">
        <v>1675</v>
      </c>
      <c r="P351" s="182"/>
    </row>
    <row r="352" spans="1:22" ht="17">
      <c r="A352" s="3" t="s">
        <v>583</v>
      </c>
      <c r="B352" s="240" t="s">
        <v>6</v>
      </c>
      <c r="C352" s="11" t="s">
        <v>4</v>
      </c>
      <c r="D352" s="11" t="s">
        <v>5</v>
      </c>
      <c r="E352" s="11">
        <v>3</v>
      </c>
      <c r="F352" s="280" t="s">
        <v>122</v>
      </c>
      <c r="G352" s="11" t="s">
        <v>8</v>
      </c>
      <c r="H352" s="186" t="s">
        <v>1256</v>
      </c>
      <c r="I352" s="305" t="s">
        <v>1680</v>
      </c>
      <c r="J352" s="236" t="s">
        <v>1257</v>
      </c>
      <c r="K352" s="369" t="s">
        <v>2070</v>
      </c>
      <c r="L352" s="186"/>
      <c r="M352" s="249" t="s">
        <v>1671</v>
      </c>
      <c r="N352" s="251" t="s">
        <v>736</v>
      </c>
      <c r="O352" s="53" t="s">
        <v>1672</v>
      </c>
      <c r="P352" s="182"/>
    </row>
    <row r="353" spans="1:16" ht="17">
      <c r="A353" s="3" t="s">
        <v>583</v>
      </c>
      <c r="B353" s="240" t="s">
        <v>6</v>
      </c>
      <c r="C353" s="11" t="s">
        <v>4</v>
      </c>
      <c r="D353" s="11" t="s">
        <v>5</v>
      </c>
      <c r="E353" s="11">
        <v>3</v>
      </c>
      <c r="F353" s="280" t="s">
        <v>191</v>
      </c>
      <c r="G353" s="11" t="s">
        <v>192</v>
      </c>
      <c r="H353" s="186" t="s">
        <v>1258</v>
      </c>
      <c r="I353" s="305" t="s">
        <v>1680</v>
      </c>
      <c r="J353" s="236" t="s">
        <v>1259</v>
      </c>
      <c r="K353" s="233" t="s">
        <v>2071</v>
      </c>
      <c r="L353" s="186"/>
      <c r="M353" s="249" t="s">
        <v>1671</v>
      </c>
      <c r="N353" s="237" t="s">
        <v>743</v>
      </c>
      <c r="O353" s="53" t="s">
        <v>1672</v>
      </c>
      <c r="P353" s="182"/>
    </row>
    <row r="354" spans="1:16" ht="17">
      <c r="A354" s="3" t="s">
        <v>583</v>
      </c>
      <c r="B354" s="240" t="s">
        <v>6</v>
      </c>
      <c r="C354" s="11" t="s">
        <v>4</v>
      </c>
      <c r="D354" s="11" t="s">
        <v>5</v>
      </c>
      <c r="E354" s="11">
        <v>3</v>
      </c>
      <c r="F354" s="280" t="s">
        <v>122</v>
      </c>
      <c r="G354" s="11" t="s">
        <v>10</v>
      </c>
      <c r="H354" s="186" t="s">
        <v>1260</v>
      </c>
      <c r="I354" s="305" t="s">
        <v>1680</v>
      </c>
      <c r="J354" s="236" t="s">
        <v>1261</v>
      </c>
      <c r="K354" s="369" t="s">
        <v>2072</v>
      </c>
      <c r="L354" s="186"/>
      <c r="M354" s="249" t="s">
        <v>1671</v>
      </c>
      <c r="N354" s="237" t="s">
        <v>743</v>
      </c>
      <c r="O354" s="53" t="s">
        <v>1672</v>
      </c>
      <c r="P354" s="182"/>
    </row>
    <row r="355" spans="1:16" ht="17">
      <c r="A355" s="3" t="s">
        <v>583</v>
      </c>
      <c r="B355" s="240" t="s">
        <v>6</v>
      </c>
      <c r="C355" s="11" t="s">
        <v>4</v>
      </c>
      <c r="D355" s="11" t="s">
        <v>5</v>
      </c>
      <c r="E355" s="11">
        <v>3</v>
      </c>
      <c r="F355" s="280" t="s">
        <v>123</v>
      </c>
      <c r="G355" s="11" t="s">
        <v>8</v>
      </c>
      <c r="H355" s="186" t="s">
        <v>1262</v>
      </c>
      <c r="I355" s="304" t="s">
        <v>1681</v>
      </c>
      <c r="J355" s="236" t="s">
        <v>1263</v>
      </c>
      <c r="K355" s="369" t="s">
        <v>2073</v>
      </c>
      <c r="L355" s="186"/>
      <c r="M355" s="249" t="s">
        <v>1671</v>
      </c>
      <c r="N355" s="237" t="s">
        <v>743</v>
      </c>
      <c r="O355" s="53" t="s">
        <v>1672</v>
      </c>
      <c r="P355" s="182"/>
    </row>
    <row r="356" spans="1:16" ht="17">
      <c r="A356" s="3" t="s">
        <v>583</v>
      </c>
      <c r="B356" s="240" t="s">
        <v>6</v>
      </c>
      <c r="C356" s="11" t="s">
        <v>4</v>
      </c>
      <c r="D356" s="11" t="s">
        <v>5</v>
      </c>
      <c r="E356" s="11">
        <v>3</v>
      </c>
      <c r="F356" s="280" t="s">
        <v>123</v>
      </c>
      <c r="G356" s="11" t="s">
        <v>9</v>
      </c>
      <c r="H356" s="186" t="s">
        <v>1264</v>
      </c>
      <c r="I356" s="304" t="s">
        <v>1682</v>
      </c>
      <c r="J356" s="236" t="s">
        <v>1265</v>
      </c>
      <c r="K356" s="369" t="s">
        <v>2074</v>
      </c>
      <c r="L356" s="186"/>
      <c r="M356" s="249" t="s">
        <v>1671</v>
      </c>
      <c r="N356" s="237" t="s">
        <v>743</v>
      </c>
      <c r="O356" s="53" t="s">
        <v>1672</v>
      </c>
      <c r="P356" s="146"/>
    </row>
    <row r="357" spans="1:16" ht="15.75" customHeight="1">
      <c r="A357" s="3" t="s">
        <v>583</v>
      </c>
      <c r="B357" s="240" t="s">
        <v>6</v>
      </c>
      <c r="C357" s="11" t="s">
        <v>4</v>
      </c>
      <c r="D357" s="11" t="s">
        <v>5</v>
      </c>
      <c r="E357" s="11">
        <v>3</v>
      </c>
      <c r="F357" s="280" t="s">
        <v>123</v>
      </c>
      <c r="G357" s="11" t="s">
        <v>10</v>
      </c>
      <c r="H357" s="186" t="s">
        <v>1266</v>
      </c>
      <c r="I357" s="304" t="s">
        <v>1683</v>
      </c>
      <c r="J357" s="236" t="s">
        <v>1267</v>
      </c>
      <c r="K357" s="369" t="s">
        <v>2075</v>
      </c>
      <c r="L357" s="186"/>
      <c r="M357" s="249" t="s">
        <v>1671</v>
      </c>
      <c r="N357" s="237" t="s">
        <v>743</v>
      </c>
      <c r="O357" s="53" t="s">
        <v>1672</v>
      </c>
      <c r="P357" s="146"/>
    </row>
    <row r="358" spans="1:16" ht="15" customHeight="1">
      <c r="A358" s="3" t="s">
        <v>583</v>
      </c>
      <c r="B358" s="240" t="s">
        <v>6</v>
      </c>
      <c r="C358" s="11" t="s">
        <v>4</v>
      </c>
      <c r="D358" s="11" t="s">
        <v>5</v>
      </c>
      <c r="E358" s="11">
        <v>3</v>
      </c>
      <c r="F358" s="280" t="s">
        <v>124</v>
      </c>
      <c r="G358" s="11" t="s">
        <v>8</v>
      </c>
      <c r="H358" s="65">
        <v>13420285</v>
      </c>
      <c r="I358" s="75" t="s">
        <v>1929</v>
      </c>
      <c r="J358" s="65" t="s">
        <v>1684</v>
      </c>
      <c r="K358" s="64" t="s">
        <v>1685</v>
      </c>
      <c r="L358" s="5" t="s">
        <v>1686</v>
      </c>
      <c r="M358" s="6" t="s">
        <v>1687</v>
      </c>
      <c r="N358" s="54" t="s">
        <v>1688</v>
      </c>
      <c r="O358" s="1" t="s">
        <v>1689</v>
      </c>
      <c r="P358" s="65"/>
    </row>
    <row r="359" spans="1:16" ht="15.75" customHeight="1">
      <c r="A359" s="3" t="s">
        <v>583</v>
      </c>
      <c r="B359" s="240" t="s">
        <v>6</v>
      </c>
      <c r="C359" s="11" t="s">
        <v>4</v>
      </c>
      <c r="D359" s="11" t="s">
        <v>5</v>
      </c>
      <c r="E359" s="11">
        <v>3</v>
      </c>
      <c r="F359" s="280" t="s">
        <v>124</v>
      </c>
      <c r="G359" s="11" t="s">
        <v>9</v>
      </c>
      <c r="H359" s="6">
        <v>13670514</v>
      </c>
      <c r="I359" s="73" t="s">
        <v>1018</v>
      </c>
      <c r="J359" s="6" t="s">
        <v>1690</v>
      </c>
      <c r="K359" s="66" t="s">
        <v>1691</v>
      </c>
      <c r="L359" s="5" t="s">
        <v>1686</v>
      </c>
      <c r="M359" s="6" t="s">
        <v>1687</v>
      </c>
      <c r="N359" s="54" t="s">
        <v>1688</v>
      </c>
      <c r="O359" s="1" t="s">
        <v>1689</v>
      </c>
      <c r="P359" s="65"/>
    </row>
    <row r="360" spans="1:16" ht="18" customHeight="1">
      <c r="A360" s="3" t="s">
        <v>583</v>
      </c>
      <c r="B360" s="240" t="s">
        <v>6</v>
      </c>
      <c r="C360" s="11" t="s">
        <v>4</v>
      </c>
      <c r="D360" s="11" t="s">
        <v>5</v>
      </c>
      <c r="E360" s="11">
        <v>3</v>
      </c>
      <c r="F360" s="280" t="s">
        <v>124</v>
      </c>
      <c r="G360" s="11" t="s">
        <v>10</v>
      </c>
      <c r="H360" s="5" t="s">
        <v>483</v>
      </c>
      <c r="I360" s="66" t="s">
        <v>460</v>
      </c>
      <c r="J360" s="5" t="s">
        <v>484</v>
      </c>
      <c r="K360" s="66" t="s">
        <v>485</v>
      </c>
      <c r="L360" s="5" t="s">
        <v>1686</v>
      </c>
      <c r="M360" s="6" t="s">
        <v>1687</v>
      </c>
      <c r="N360" s="54" t="s">
        <v>1688</v>
      </c>
      <c r="O360" s="1" t="s">
        <v>1689</v>
      </c>
      <c r="P360" s="88"/>
    </row>
    <row r="361" spans="1:16" ht="17">
      <c r="A361" s="3" t="s">
        <v>583</v>
      </c>
      <c r="B361" s="240" t="s">
        <v>6</v>
      </c>
      <c r="C361" s="11" t="s">
        <v>4</v>
      </c>
      <c r="D361" s="11" t="s">
        <v>5</v>
      </c>
      <c r="E361" s="11">
        <v>3</v>
      </c>
      <c r="F361" s="280" t="s">
        <v>125</v>
      </c>
      <c r="G361" s="11" t="s">
        <v>8</v>
      </c>
      <c r="H361" s="143" t="s">
        <v>486</v>
      </c>
      <c r="I361" s="306" t="s">
        <v>1268</v>
      </c>
      <c r="J361" s="223" t="s">
        <v>487</v>
      </c>
      <c r="K361" s="224" t="s">
        <v>1692</v>
      </c>
      <c r="L361" s="340" t="s">
        <v>1686</v>
      </c>
      <c r="M361" s="144" t="s">
        <v>1693</v>
      </c>
      <c r="N361" s="54" t="s">
        <v>1688</v>
      </c>
      <c r="O361" s="12" t="s">
        <v>1694</v>
      </c>
      <c r="P361" s="92" t="s">
        <v>1694</v>
      </c>
    </row>
    <row r="362" spans="1:16" ht="17">
      <c r="A362" s="3" t="s">
        <v>583</v>
      </c>
      <c r="B362" s="240" t="s">
        <v>6</v>
      </c>
      <c r="C362" s="11" t="s">
        <v>4</v>
      </c>
      <c r="D362" s="11" t="s">
        <v>5</v>
      </c>
      <c r="E362" s="11">
        <v>3</v>
      </c>
      <c r="F362" s="280" t="s">
        <v>125</v>
      </c>
      <c r="G362" s="11" t="s">
        <v>9</v>
      </c>
      <c r="H362" s="5" t="s">
        <v>1269</v>
      </c>
      <c r="I362" s="133" t="s">
        <v>1054</v>
      </c>
      <c r="J362" s="5" t="s">
        <v>1270</v>
      </c>
      <c r="K362" s="66" t="s">
        <v>1271</v>
      </c>
      <c r="L362" s="5" t="s">
        <v>679</v>
      </c>
      <c r="M362" s="53" t="s">
        <v>308</v>
      </c>
      <c r="N362" s="54" t="s">
        <v>396</v>
      </c>
      <c r="O362" s="1" t="s">
        <v>582</v>
      </c>
      <c r="P362" s="384" t="s">
        <v>1272</v>
      </c>
    </row>
    <row r="363" spans="1:16" ht="17">
      <c r="A363" s="3" t="s">
        <v>583</v>
      </c>
      <c r="B363" s="240" t="s">
        <v>6</v>
      </c>
      <c r="C363" s="11" t="s">
        <v>4</v>
      </c>
      <c r="D363" s="11" t="s">
        <v>5</v>
      </c>
      <c r="E363" s="11">
        <v>3</v>
      </c>
      <c r="F363" s="280" t="s">
        <v>125</v>
      </c>
      <c r="G363" s="11" t="s">
        <v>10</v>
      </c>
      <c r="H363" s="65">
        <v>13380086</v>
      </c>
      <c r="I363" s="307" t="s">
        <v>1273</v>
      </c>
      <c r="J363" s="65" t="s">
        <v>1695</v>
      </c>
      <c r="K363" s="64" t="s">
        <v>1696</v>
      </c>
      <c r="L363" s="5" t="s">
        <v>1697</v>
      </c>
      <c r="M363" s="53" t="s">
        <v>1698</v>
      </c>
      <c r="N363" s="54" t="s">
        <v>1699</v>
      </c>
      <c r="O363" s="1" t="s">
        <v>1700</v>
      </c>
      <c r="P363" s="385"/>
    </row>
    <row r="364" spans="1:16" ht="17">
      <c r="A364" s="3" t="s">
        <v>583</v>
      </c>
      <c r="B364" s="240" t="s">
        <v>6</v>
      </c>
      <c r="C364" s="11" t="s">
        <v>4</v>
      </c>
      <c r="D364" s="11" t="s">
        <v>5</v>
      </c>
      <c r="E364" s="11">
        <v>3</v>
      </c>
      <c r="F364" s="280" t="s">
        <v>126</v>
      </c>
      <c r="G364" s="11" t="s">
        <v>8</v>
      </c>
      <c r="H364" s="5" t="s">
        <v>1274</v>
      </c>
      <c r="I364" s="66" t="s">
        <v>261</v>
      </c>
      <c r="J364" s="5" t="s">
        <v>1275</v>
      </c>
      <c r="K364" s="68" t="s">
        <v>1276</v>
      </c>
      <c r="L364" s="5" t="s">
        <v>1904</v>
      </c>
      <c r="M364" s="53" t="s">
        <v>1698</v>
      </c>
      <c r="N364" s="54" t="s">
        <v>1699</v>
      </c>
      <c r="O364" s="1" t="s">
        <v>1700</v>
      </c>
      <c r="P364" s="386" t="s">
        <v>1277</v>
      </c>
    </row>
    <row r="365" spans="1:16" ht="17">
      <c r="A365" s="3" t="s">
        <v>583</v>
      </c>
      <c r="B365" s="240" t="s">
        <v>6</v>
      </c>
      <c r="C365" s="11" t="s">
        <v>4</v>
      </c>
      <c r="D365" s="11" t="s">
        <v>5</v>
      </c>
      <c r="E365" s="11">
        <v>3</v>
      </c>
      <c r="F365" s="280" t="s">
        <v>126</v>
      </c>
      <c r="G365" s="11" t="s">
        <v>9</v>
      </c>
      <c r="H365" s="5" t="s">
        <v>1278</v>
      </c>
      <c r="I365" s="66" t="s">
        <v>1279</v>
      </c>
      <c r="J365" s="5" t="s">
        <v>1280</v>
      </c>
      <c r="K365" s="68" t="s">
        <v>1281</v>
      </c>
      <c r="L365" s="5" t="s">
        <v>1904</v>
      </c>
      <c r="M365" s="53" t="s">
        <v>1698</v>
      </c>
      <c r="N365" s="54" t="s">
        <v>1699</v>
      </c>
      <c r="O365" s="1" t="s">
        <v>1700</v>
      </c>
      <c r="P365" s="386" t="s">
        <v>1281</v>
      </c>
    </row>
    <row r="366" spans="1:16" ht="17">
      <c r="A366" s="3" t="s">
        <v>583</v>
      </c>
      <c r="B366" s="240" t="s">
        <v>6</v>
      </c>
      <c r="C366" s="11" t="s">
        <v>4</v>
      </c>
      <c r="D366" s="11" t="s">
        <v>5</v>
      </c>
      <c r="E366" s="11">
        <v>3</v>
      </c>
      <c r="F366" s="280" t="s">
        <v>126</v>
      </c>
      <c r="G366" s="11" t="s">
        <v>10</v>
      </c>
      <c r="H366" s="5" t="s">
        <v>1282</v>
      </c>
      <c r="I366" s="66" t="s">
        <v>260</v>
      </c>
      <c r="J366" s="5" t="s">
        <v>1283</v>
      </c>
      <c r="K366" s="67" t="s">
        <v>1284</v>
      </c>
      <c r="L366" s="5" t="s">
        <v>1904</v>
      </c>
      <c r="M366" s="53" t="s">
        <v>1698</v>
      </c>
      <c r="N366" s="54" t="s">
        <v>1699</v>
      </c>
      <c r="O366" s="1" t="s">
        <v>1700</v>
      </c>
      <c r="P366" s="386"/>
    </row>
    <row r="367" spans="1:16" ht="17">
      <c r="A367" s="3" t="s">
        <v>583</v>
      </c>
      <c r="B367" s="240" t="s">
        <v>6</v>
      </c>
      <c r="C367" s="11" t="s">
        <v>4</v>
      </c>
      <c r="D367" s="11" t="s">
        <v>5</v>
      </c>
      <c r="E367" s="11">
        <v>3</v>
      </c>
      <c r="F367" s="280" t="s">
        <v>127</v>
      </c>
      <c r="G367" s="11" t="s">
        <v>8</v>
      </c>
      <c r="H367" s="5" t="s">
        <v>1285</v>
      </c>
      <c r="I367" s="66" t="s">
        <v>263</v>
      </c>
      <c r="J367" s="5" t="s">
        <v>1286</v>
      </c>
      <c r="K367" s="68" t="s">
        <v>1287</v>
      </c>
      <c r="L367" s="5" t="s">
        <v>1904</v>
      </c>
      <c r="M367" s="53" t="s">
        <v>1698</v>
      </c>
      <c r="N367" s="54" t="s">
        <v>1699</v>
      </c>
      <c r="O367" s="1" t="s">
        <v>1700</v>
      </c>
      <c r="P367" s="386" t="s">
        <v>1288</v>
      </c>
    </row>
    <row r="368" spans="1:16" ht="17">
      <c r="A368" s="3" t="s">
        <v>583</v>
      </c>
      <c r="B368" s="240" t="s">
        <v>6</v>
      </c>
      <c r="C368" s="11" t="s">
        <v>4</v>
      </c>
      <c r="D368" s="11" t="s">
        <v>5</v>
      </c>
      <c r="E368" s="11">
        <v>3</v>
      </c>
      <c r="F368" s="280" t="s">
        <v>127</v>
      </c>
      <c r="G368" s="11" t="s">
        <v>9</v>
      </c>
      <c r="H368" s="5" t="s">
        <v>1289</v>
      </c>
      <c r="I368" s="66" t="s">
        <v>290</v>
      </c>
      <c r="J368" s="5" t="s">
        <v>1290</v>
      </c>
      <c r="K368" s="68" t="s">
        <v>1291</v>
      </c>
      <c r="L368" s="5" t="s">
        <v>1904</v>
      </c>
      <c r="M368" s="53" t="s">
        <v>1698</v>
      </c>
      <c r="N368" s="54" t="s">
        <v>1699</v>
      </c>
      <c r="O368" s="1" t="s">
        <v>1700</v>
      </c>
      <c r="P368" s="386" t="s">
        <v>1292</v>
      </c>
    </row>
    <row r="369" spans="1:26" ht="17">
      <c r="A369" s="3" t="s">
        <v>583</v>
      </c>
      <c r="B369" s="240" t="s">
        <v>6</v>
      </c>
      <c r="C369" s="11" t="s">
        <v>4</v>
      </c>
      <c r="D369" s="11" t="s">
        <v>5</v>
      </c>
      <c r="E369" s="11">
        <v>3</v>
      </c>
      <c r="F369" s="280" t="s">
        <v>127</v>
      </c>
      <c r="G369" s="11" t="s">
        <v>10</v>
      </c>
      <c r="H369" s="5" t="s">
        <v>1293</v>
      </c>
      <c r="I369" s="66" t="s">
        <v>273</v>
      </c>
      <c r="J369" s="5" t="s">
        <v>1294</v>
      </c>
      <c r="K369" s="68" t="s">
        <v>1295</v>
      </c>
      <c r="L369" s="5" t="s">
        <v>1904</v>
      </c>
      <c r="M369" s="53" t="s">
        <v>1698</v>
      </c>
      <c r="N369" s="54" t="s">
        <v>1699</v>
      </c>
      <c r="O369" s="1" t="s">
        <v>1700</v>
      </c>
      <c r="P369" s="386" t="s">
        <v>1295</v>
      </c>
    </row>
    <row r="370" spans="1:26" ht="17">
      <c r="A370" s="3" t="s">
        <v>583</v>
      </c>
      <c r="B370" s="240" t="s">
        <v>6</v>
      </c>
      <c r="C370" s="11" t="s">
        <v>4</v>
      </c>
      <c r="D370" s="11" t="s">
        <v>5</v>
      </c>
      <c r="E370" s="11">
        <v>3</v>
      </c>
      <c r="F370" s="280" t="s">
        <v>128</v>
      </c>
      <c r="G370" s="11" t="s">
        <v>8</v>
      </c>
      <c r="H370" s="65">
        <v>13750351</v>
      </c>
      <c r="I370" s="307" t="s">
        <v>1066</v>
      </c>
      <c r="J370" s="65" t="s">
        <v>1701</v>
      </c>
      <c r="K370" s="64" t="s">
        <v>1702</v>
      </c>
      <c r="L370" s="5" t="s">
        <v>1904</v>
      </c>
      <c r="M370" s="53" t="s">
        <v>1698</v>
      </c>
      <c r="N370" s="54" t="s">
        <v>1699</v>
      </c>
      <c r="O370" s="1" t="s">
        <v>1700</v>
      </c>
      <c r="P370" s="385"/>
      <c r="R370" s="149"/>
      <c r="S370" s="149"/>
      <c r="T370" s="103"/>
      <c r="U370" s="151"/>
      <c r="V370" s="150"/>
      <c r="W370" s="105"/>
      <c r="X370" s="104"/>
      <c r="Y370" s="148"/>
      <c r="Z370" s="152"/>
    </row>
    <row r="371" spans="1:26" ht="17">
      <c r="A371" s="3" t="s">
        <v>583</v>
      </c>
      <c r="B371" s="240" t="s">
        <v>6</v>
      </c>
      <c r="C371" s="11" t="s">
        <v>4</v>
      </c>
      <c r="D371" s="11" t="s">
        <v>5</v>
      </c>
      <c r="E371" s="11">
        <v>3</v>
      </c>
      <c r="F371" s="280" t="s">
        <v>128</v>
      </c>
      <c r="G371" s="11" t="s">
        <v>9</v>
      </c>
      <c r="H371" s="6">
        <v>12093613</v>
      </c>
      <c r="I371" s="73" t="s">
        <v>1673</v>
      </c>
      <c r="J371" s="6" t="s">
        <v>1703</v>
      </c>
      <c r="K371" s="67" t="s">
        <v>1704</v>
      </c>
      <c r="L371" s="5" t="s">
        <v>1904</v>
      </c>
      <c r="M371" s="79" t="s">
        <v>1706</v>
      </c>
      <c r="N371" s="54" t="s">
        <v>1707</v>
      </c>
      <c r="O371" s="1" t="s">
        <v>1708</v>
      </c>
      <c r="P371" s="385"/>
    </row>
    <row r="372" spans="1:26" ht="17">
      <c r="A372" s="3" t="s">
        <v>583</v>
      </c>
      <c r="B372" s="240" t="s">
        <v>6</v>
      </c>
      <c r="C372" s="11" t="s">
        <v>4</v>
      </c>
      <c r="D372" s="11" t="s">
        <v>5</v>
      </c>
      <c r="E372" s="11">
        <v>3</v>
      </c>
      <c r="F372" s="280" t="s">
        <v>128</v>
      </c>
      <c r="G372" s="11" t="s">
        <v>10</v>
      </c>
      <c r="H372" s="6">
        <v>13750962</v>
      </c>
      <c r="I372" s="73" t="s">
        <v>1066</v>
      </c>
      <c r="J372" s="6" t="s">
        <v>1709</v>
      </c>
      <c r="K372" s="66" t="s">
        <v>1710</v>
      </c>
      <c r="L372" s="5" t="s">
        <v>1904</v>
      </c>
      <c r="M372" s="79" t="s">
        <v>1698</v>
      </c>
      <c r="N372" s="54" t="s">
        <v>1699</v>
      </c>
      <c r="O372" s="1" t="s">
        <v>1700</v>
      </c>
      <c r="P372" s="385"/>
    </row>
    <row r="373" spans="1:26" ht="17">
      <c r="A373" s="3" t="s">
        <v>583</v>
      </c>
      <c r="B373" s="240" t="s">
        <v>6</v>
      </c>
      <c r="C373" s="11" t="s">
        <v>4</v>
      </c>
      <c r="D373" s="11" t="s">
        <v>5</v>
      </c>
      <c r="E373" s="11">
        <v>3</v>
      </c>
      <c r="F373" s="280" t="s">
        <v>129</v>
      </c>
      <c r="G373" s="11" t="s">
        <v>8</v>
      </c>
      <c r="H373" s="5" t="s">
        <v>1296</v>
      </c>
      <c r="I373" s="133" t="s">
        <v>1327</v>
      </c>
      <c r="J373" s="5" t="s">
        <v>1297</v>
      </c>
      <c r="K373" s="66" t="s">
        <v>1298</v>
      </c>
      <c r="L373" s="5" t="s">
        <v>1904</v>
      </c>
      <c r="M373" s="79" t="s">
        <v>1698</v>
      </c>
      <c r="N373" s="54" t="s">
        <v>1699</v>
      </c>
      <c r="O373" s="1" t="s">
        <v>1700</v>
      </c>
      <c r="P373" s="384" t="s">
        <v>1299</v>
      </c>
    </row>
    <row r="374" spans="1:26" ht="17">
      <c r="A374" s="3" t="s">
        <v>583</v>
      </c>
      <c r="B374" s="240" t="s">
        <v>6</v>
      </c>
      <c r="C374" s="11" t="s">
        <v>4</v>
      </c>
      <c r="D374" s="11" t="s">
        <v>5</v>
      </c>
      <c r="E374" s="11">
        <v>3</v>
      </c>
      <c r="F374" s="280" t="s">
        <v>129</v>
      </c>
      <c r="G374" s="11" t="s">
        <v>9</v>
      </c>
      <c r="H374" s="5" t="s">
        <v>278</v>
      </c>
      <c r="I374" s="66" t="s">
        <v>1300</v>
      </c>
      <c r="J374" s="5" t="s">
        <v>244</v>
      </c>
      <c r="K374" s="81" t="s">
        <v>1711</v>
      </c>
      <c r="L374" s="5" t="s">
        <v>1904</v>
      </c>
      <c r="M374" s="53" t="s">
        <v>1698</v>
      </c>
      <c r="N374" s="54" t="s">
        <v>1699</v>
      </c>
      <c r="O374" s="1" t="s">
        <v>1700</v>
      </c>
      <c r="P374" s="12"/>
    </row>
    <row r="375" spans="1:26" ht="17">
      <c r="A375" s="3" t="s">
        <v>583</v>
      </c>
      <c r="B375" s="240" t="s">
        <v>6</v>
      </c>
      <c r="C375" s="11" t="s">
        <v>4</v>
      </c>
      <c r="D375" s="11" t="s">
        <v>5</v>
      </c>
      <c r="E375" s="11">
        <v>3</v>
      </c>
      <c r="F375" s="280" t="s">
        <v>129</v>
      </c>
      <c r="G375" s="11" t="s">
        <v>10</v>
      </c>
      <c r="H375" s="5" t="s">
        <v>1712</v>
      </c>
      <c r="I375" s="66" t="s">
        <v>716</v>
      </c>
      <c r="J375" s="5" t="s">
        <v>245</v>
      </c>
      <c r="K375" s="81" t="s">
        <v>1713</v>
      </c>
      <c r="L375" s="5" t="s">
        <v>1904</v>
      </c>
      <c r="M375" s="53" t="s">
        <v>1698</v>
      </c>
      <c r="N375" s="54" t="s">
        <v>1699</v>
      </c>
      <c r="O375" s="1" t="s">
        <v>1700</v>
      </c>
      <c r="P375" s="12"/>
    </row>
    <row r="376" spans="1:26" ht="17">
      <c r="A376" s="3" t="s">
        <v>583</v>
      </c>
      <c r="B376" s="240" t="s">
        <v>6</v>
      </c>
      <c r="C376" s="11" t="s">
        <v>4</v>
      </c>
      <c r="D376" s="11" t="s">
        <v>5</v>
      </c>
      <c r="E376" s="11">
        <v>3</v>
      </c>
      <c r="F376" s="280" t="s">
        <v>130</v>
      </c>
      <c r="G376" s="11" t="s">
        <v>8</v>
      </c>
      <c r="H376" s="6">
        <v>12600195</v>
      </c>
      <c r="I376" s="73" t="s">
        <v>479</v>
      </c>
      <c r="J376" s="6" t="s">
        <v>488</v>
      </c>
      <c r="K376" s="66" t="s">
        <v>1714</v>
      </c>
      <c r="L376" s="5" t="s">
        <v>1697</v>
      </c>
      <c r="M376" s="53" t="s">
        <v>1698</v>
      </c>
      <c r="N376" s="54" t="s">
        <v>1699</v>
      </c>
      <c r="O376" s="1" t="s">
        <v>1700</v>
      </c>
      <c r="P376" s="12"/>
    </row>
    <row r="377" spans="1:26" ht="17">
      <c r="A377" s="3" t="s">
        <v>583</v>
      </c>
      <c r="B377" s="240" t="s">
        <v>6</v>
      </c>
      <c r="C377" s="11" t="s">
        <v>4</v>
      </c>
      <c r="D377" s="11" t="s">
        <v>5</v>
      </c>
      <c r="E377" s="11">
        <v>3</v>
      </c>
      <c r="F377" s="280" t="s">
        <v>130</v>
      </c>
      <c r="G377" s="11" t="s">
        <v>9</v>
      </c>
      <c r="H377" s="5" t="s">
        <v>1715</v>
      </c>
      <c r="I377" s="66" t="s">
        <v>1301</v>
      </c>
      <c r="J377" s="5" t="s">
        <v>369</v>
      </c>
      <c r="K377" s="66" t="s">
        <v>1716</v>
      </c>
      <c r="L377" s="5" t="s">
        <v>1697</v>
      </c>
      <c r="M377" s="53" t="s">
        <v>1698</v>
      </c>
      <c r="N377" s="54" t="s">
        <v>1699</v>
      </c>
      <c r="O377" s="1" t="s">
        <v>1700</v>
      </c>
      <c r="P377" s="12"/>
    </row>
    <row r="378" spans="1:26" ht="17">
      <c r="A378" s="3" t="s">
        <v>583</v>
      </c>
      <c r="B378" s="240" t="s">
        <v>6</v>
      </c>
      <c r="C378" s="11" t="s">
        <v>4</v>
      </c>
      <c r="D378" s="11" t="s">
        <v>5</v>
      </c>
      <c r="E378" s="11">
        <v>3</v>
      </c>
      <c r="F378" s="280" t="s">
        <v>130</v>
      </c>
      <c r="G378" s="11" t="s">
        <v>10</v>
      </c>
      <c r="H378" s="6">
        <v>12091276</v>
      </c>
      <c r="I378" s="73" t="s">
        <v>600</v>
      </c>
      <c r="J378" s="6" t="s">
        <v>490</v>
      </c>
      <c r="K378" s="66" t="s">
        <v>1717</v>
      </c>
      <c r="L378" s="5" t="s">
        <v>1697</v>
      </c>
      <c r="M378" s="53" t="s">
        <v>1698</v>
      </c>
      <c r="N378" s="54" t="s">
        <v>1699</v>
      </c>
      <c r="O378" s="1" t="s">
        <v>1700</v>
      </c>
      <c r="P378" s="12"/>
    </row>
    <row r="379" spans="1:26" ht="17">
      <c r="A379" s="3" t="s">
        <v>583</v>
      </c>
      <c r="B379" s="240" t="s">
        <v>6</v>
      </c>
      <c r="C379" s="11" t="s">
        <v>4</v>
      </c>
      <c r="D379" s="11" t="s">
        <v>5</v>
      </c>
      <c r="E379" s="11">
        <v>3</v>
      </c>
      <c r="F379" s="280" t="s">
        <v>131</v>
      </c>
      <c r="G379" s="11" t="s">
        <v>8</v>
      </c>
      <c r="H379" s="5" t="s">
        <v>505</v>
      </c>
      <c r="I379" s="66" t="s">
        <v>466</v>
      </c>
      <c r="J379" s="5" t="s">
        <v>506</v>
      </c>
      <c r="K379" s="66" t="s">
        <v>507</v>
      </c>
      <c r="L379" s="5" t="s">
        <v>1697</v>
      </c>
      <c r="M379" s="6" t="s">
        <v>1698</v>
      </c>
      <c r="N379" s="54" t="s">
        <v>1699</v>
      </c>
      <c r="O379" s="1" t="s">
        <v>1700</v>
      </c>
      <c r="P379" s="21"/>
    </row>
    <row r="380" spans="1:26" ht="17">
      <c r="A380" s="3" t="s">
        <v>583</v>
      </c>
      <c r="B380" s="240" t="s">
        <v>6</v>
      </c>
      <c r="C380" s="11" t="s">
        <v>4</v>
      </c>
      <c r="D380" s="11" t="s">
        <v>5</v>
      </c>
      <c r="E380" s="11">
        <v>3</v>
      </c>
      <c r="F380" s="280" t="s">
        <v>131</v>
      </c>
      <c r="G380" s="11" t="s">
        <v>9</v>
      </c>
      <c r="H380" s="5" t="s">
        <v>491</v>
      </c>
      <c r="I380" s="133" t="s">
        <v>1302</v>
      </c>
      <c r="J380" s="5" t="s">
        <v>492</v>
      </c>
      <c r="K380" s="66" t="s">
        <v>493</v>
      </c>
      <c r="L380" s="5" t="s">
        <v>1697</v>
      </c>
      <c r="M380" s="53" t="s">
        <v>1698</v>
      </c>
      <c r="N380" s="54" t="s">
        <v>1699</v>
      </c>
      <c r="O380" s="1" t="s">
        <v>1700</v>
      </c>
      <c r="P380" s="12"/>
    </row>
    <row r="381" spans="1:26" ht="17">
      <c r="A381" s="3" t="s">
        <v>583</v>
      </c>
      <c r="B381" s="240" t="s">
        <v>6</v>
      </c>
      <c r="C381" s="11" t="s">
        <v>4</v>
      </c>
      <c r="D381" s="11" t="s">
        <v>5</v>
      </c>
      <c r="E381" s="11">
        <v>3</v>
      </c>
      <c r="F381" s="280" t="s">
        <v>131</v>
      </c>
      <c r="G381" s="11" t="s">
        <v>10</v>
      </c>
      <c r="H381" s="6">
        <v>12130304</v>
      </c>
      <c r="I381" s="73" t="s">
        <v>877</v>
      </c>
      <c r="J381" s="6" t="s">
        <v>1718</v>
      </c>
      <c r="K381" s="81" t="s">
        <v>1719</v>
      </c>
      <c r="L381" s="5" t="s">
        <v>1697</v>
      </c>
      <c r="M381" s="53" t="s">
        <v>1698</v>
      </c>
      <c r="N381" s="54" t="s">
        <v>1699</v>
      </c>
      <c r="O381" s="1" t="s">
        <v>1700</v>
      </c>
      <c r="P381" s="12"/>
    </row>
    <row r="382" spans="1:26" ht="17">
      <c r="A382" s="3" t="s">
        <v>583</v>
      </c>
      <c r="B382" s="240" t="s">
        <v>6</v>
      </c>
      <c r="C382" s="11" t="s">
        <v>4</v>
      </c>
      <c r="D382" s="11" t="s">
        <v>5</v>
      </c>
      <c r="E382" s="11">
        <v>3</v>
      </c>
      <c r="F382" s="280" t="s">
        <v>132</v>
      </c>
      <c r="G382" s="11" t="s">
        <v>8</v>
      </c>
      <c r="H382" s="56" t="s">
        <v>1867</v>
      </c>
      <c r="I382" s="319" t="s">
        <v>1868</v>
      </c>
      <c r="J382" s="70" t="s">
        <v>1869</v>
      </c>
      <c r="K382" s="129" t="s">
        <v>2000</v>
      </c>
      <c r="L382" s="56" t="s">
        <v>679</v>
      </c>
      <c r="M382" s="62" t="s">
        <v>292</v>
      </c>
      <c r="N382" s="54" t="s">
        <v>396</v>
      </c>
      <c r="O382" s="1" t="s">
        <v>581</v>
      </c>
      <c r="P382" s="230"/>
    </row>
    <row r="383" spans="1:26" ht="17">
      <c r="A383" s="3" t="s">
        <v>583</v>
      </c>
      <c r="B383" s="240" t="s">
        <v>6</v>
      </c>
      <c r="C383" s="11" t="s">
        <v>4</v>
      </c>
      <c r="D383" s="11" t="s">
        <v>5</v>
      </c>
      <c r="E383" s="11">
        <v>3</v>
      </c>
      <c r="F383" s="280" t="s">
        <v>132</v>
      </c>
      <c r="G383" s="11" t="s">
        <v>9</v>
      </c>
      <c r="H383" s="53">
        <v>12210620</v>
      </c>
      <c r="I383" s="54" t="s">
        <v>1806</v>
      </c>
      <c r="J383" s="6" t="s">
        <v>1874</v>
      </c>
      <c r="K383" s="67" t="s">
        <v>1875</v>
      </c>
      <c r="L383" s="5" t="s">
        <v>679</v>
      </c>
      <c r="M383" s="53" t="s">
        <v>308</v>
      </c>
      <c r="N383" s="54" t="s">
        <v>396</v>
      </c>
      <c r="O383" s="1" t="s">
        <v>582</v>
      </c>
      <c r="P383" s="230"/>
    </row>
    <row r="384" spans="1:26" ht="17">
      <c r="A384" s="3" t="s">
        <v>583</v>
      </c>
      <c r="B384" s="240" t="s">
        <v>6</v>
      </c>
      <c r="C384" s="11" t="s">
        <v>4</v>
      </c>
      <c r="D384" s="11" t="s">
        <v>5</v>
      </c>
      <c r="E384" s="11">
        <v>3</v>
      </c>
      <c r="F384" s="280" t="s">
        <v>132</v>
      </c>
      <c r="G384" s="11" t="s">
        <v>10</v>
      </c>
      <c r="H384" s="6">
        <v>11170404</v>
      </c>
      <c r="I384" s="73" t="s">
        <v>1889</v>
      </c>
      <c r="J384" s="6" t="s">
        <v>1890</v>
      </c>
      <c r="K384" s="66" t="s">
        <v>1891</v>
      </c>
      <c r="L384" s="5" t="s">
        <v>679</v>
      </c>
      <c r="M384" s="53" t="s">
        <v>308</v>
      </c>
      <c r="N384" s="54" t="s">
        <v>396</v>
      </c>
      <c r="O384" s="1" t="s">
        <v>582</v>
      </c>
      <c r="P384" s="12"/>
    </row>
    <row r="385" spans="1:23" ht="17">
      <c r="A385" s="3" t="s">
        <v>583</v>
      </c>
      <c r="B385" s="240" t="s">
        <v>6</v>
      </c>
      <c r="C385" s="11" t="s">
        <v>4</v>
      </c>
      <c r="D385" s="11" t="s">
        <v>5</v>
      </c>
      <c r="E385" s="11">
        <v>3</v>
      </c>
      <c r="F385" s="280" t="s">
        <v>133</v>
      </c>
      <c r="G385" s="11" t="s">
        <v>8</v>
      </c>
      <c r="H385" s="55" t="s">
        <v>1720</v>
      </c>
      <c r="I385" s="362" t="s">
        <v>1721</v>
      </c>
      <c r="J385" s="323" t="s">
        <v>1722</v>
      </c>
      <c r="K385" s="71" t="s">
        <v>2001</v>
      </c>
      <c r="L385" s="56" t="s">
        <v>1697</v>
      </c>
      <c r="M385" s="62" t="s">
        <v>1723</v>
      </c>
      <c r="N385" s="54" t="s">
        <v>1699</v>
      </c>
      <c r="O385" s="53" t="s">
        <v>1675</v>
      </c>
      <c r="P385" s="20"/>
    </row>
    <row r="386" spans="1:23" ht="18.75" customHeight="1">
      <c r="A386" s="3" t="s">
        <v>583</v>
      </c>
      <c r="B386" s="240" t="s">
        <v>6</v>
      </c>
      <c r="C386" s="11" t="s">
        <v>4</v>
      </c>
      <c r="D386" s="11" t="s">
        <v>5</v>
      </c>
      <c r="E386" s="11">
        <v>3</v>
      </c>
      <c r="F386" s="280" t="s">
        <v>133</v>
      </c>
      <c r="G386" s="11" t="s">
        <v>9</v>
      </c>
      <c r="H386" s="252" t="s">
        <v>1724</v>
      </c>
      <c r="I386" s="72" t="s">
        <v>1725</v>
      </c>
      <c r="J386" s="253" t="s">
        <v>1726</v>
      </c>
      <c r="K386" s="129" t="s">
        <v>2002</v>
      </c>
      <c r="L386" s="56" t="s">
        <v>1727</v>
      </c>
      <c r="M386" s="62" t="s">
        <v>1723</v>
      </c>
      <c r="N386" s="84" t="s">
        <v>1728</v>
      </c>
      <c r="O386" s="53" t="s">
        <v>1675</v>
      </c>
      <c r="P386" s="65" t="s">
        <v>1729</v>
      </c>
    </row>
    <row r="387" spans="1:23" ht="17">
      <c r="A387" s="3" t="s">
        <v>583</v>
      </c>
      <c r="B387" s="240" t="s">
        <v>6</v>
      </c>
      <c r="C387" s="11" t="s">
        <v>4</v>
      </c>
      <c r="D387" s="11" t="s">
        <v>5</v>
      </c>
      <c r="E387" s="11">
        <v>3</v>
      </c>
      <c r="F387" s="280" t="s">
        <v>133</v>
      </c>
      <c r="G387" s="11" t="s">
        <v>10</v>
      </c>
      <c r="H387" s="70">
        <v>14592011</v>
      </c>
      <c r="I387" s="363" t="s">
        <v>1730</v>
      </c>
      <c r="J387" s="252" t="s">
        <v>1731</v>
      </c>
      <c r="K387" s="129" t="s">
        <v>1732</v>
      </c>
      <c r="L387" s="56" t="s">
        <v>1733</v>
      </c>
      <c r="M387" s="62" t="s">
        <v>1734</v>
      </c>
      <c r="N387" s="84" t="s">
        <v>1735</v>
      </c>
      <c r="O387" s="53" t="s">
        <v>1736</v>
      </c>
      <c r="P387" s="65" t="s">
        <v>1737</v>
      </c>
    </row>
    <row r="388" spans="1:23" ht="17">
      <c r="A388" s="3" t="s">
        <v>583</v>
      </c>
      <c r="B388" s="240" t="s">
        <v>6</v>
      </c>
      <c r="C388" s="11" t="s">
        <v>4</v>
      </c>
      <c r="D388" s="11" t="s">
        <v>5</v>
      </c>
      <c r="E388" s="11">
        <v>3</v>
      </c>
      <c r="F388" s="280" t="s">
        <v>134</v>
      </c>
      <c r="G388" s="11" t="s">
        <v>8</v>
      </c>
      <c r="H388" s="55" t="s">
        <v>1743</v>
      </c>
      <c r="I388" s="270" t="s">
        <v>1857</v>
      </c>
      <c r="J388" s="55" t="s">
        <v>1744</v>
      </c>
      <c r="K388" s="71" t="s">
        <v>1745</v>
      </c>
      <c r="L388" s="56" t="s">
        <v>1697</v>
      </c>
      <c r="M388" s="62" t="s">
        <v>1741</v>
      </c>
      <c r="N388" s="54" t="s">
        <v>1699</v>
      </c>
      <c r="O388" s="53" t="s">
        <v>1675</v>
      </c>
      <c r="P388" s="254" t="s">
        <v>1742</v>
      </c>
    </row>
    <row r="389" spans="1:23" ht="17">
      <c r="A389" s="3" t="s">
        <v>583</v>
      </c>
      <c r="B389" s="240" t="s">
        <v>6</v>
      </c>
      <c r="C389" s="11" t="s">
        <v>4</v>
      </c>
      <c r="D389" s="11" t="s">
        <v>5</v>
      </c>
      <c r="E389" s="11">
        <v>3</v>
      </c>
      <c r="F389" s="280" t="s">
        <v>134</v>
      </c>
      <c r="G389" s="11" t="s">
        <v>9</v>
      </c>
      <c r="H389" s="55" t="s">
        <v>1738</v>
      </c>
      <c r="I389" s="270" t="s">
        <v>1857</v>
      </c>
      <c r="J389" s="70" t="s">
        <v>1739</v>
      </c>
      <c r="K389" s="71" t="s">
        <v>1740</v>
      </c>
      <c r="L389" s="56" t="s">
        <v>1697</v>
      </c>
      <c r="M389" s="62" t="s">
        <v>1741</v>
      </c>
      <c r="N389" s="54" t="s">
        <v>1699</v>
      </c>
      <c r="O389" s="53" t="s">
        <v>1675</v>
      </c>
      <c r="P389" s="254" t="s">
        <v>1742</v>
      </c>
    </row>
    <row r="390" spans="1:23" ht="18" customHeight="1">
      <c r="A390" s="3" t="s">
        <v>583</v>
      </c>
      <c r="B390" s="240" t="s">
        <v>6</v>
      </c>
      <c r="C390" s="11" t="s">
        <v>4</v>
      </c>
      <c r="D390" s="11" t="s">
        <v>5</v>
      </c>
      <c r="E390" s="11">
        <v>3</v>
      </c>
      <c r="F390" s="280" t="s">
        <v>134</v>
      </c>
      <c r="G390" s="11" t="s">
        <v>10</v>
      </c>
      <c r="H390" s="55" t="s">
        <v>1746</v>
      </c>
      <c r="I390" s="270" t="s">
        <v>1858</v>
      </c>
      <c r="J390" s="70" t="s">
        <v>1747</v>
      </c>
      <c r="K390" s="71" t="s">
        <v>1748</v>
      </c>
      <c r="L390" s="56" t="s">
        <v>1697</v>
      </c>
      <c r="M390" s="62" t="s">
        <v>1741</v>
      </c>
      <c r="N390" s="54" t="s">
        <v>1699</v>
      </c>
      <c r="O390" s="53" t="s">
        <v>1675</v>
      </c>
      <c r="P390" s="254" t="s">
        <v>1742</v>
      </c>
    </row>
    <row r="391" spans="1:23" ht="17">
      <c r="A391" s="3" t="s">
        <v>583</v>
      </c>
      <c r="B391" s="240" t="s">
        <v>6</v>
      </c>
      <c r="C391" s="11" t="s">
        <v>4</v>
      </c>
      <c r="D391" s="11" t="s">
        <v>5</v>
      </c>
      <c r="E391" s="11">
        <v>3</v>
      </c>
      <c r="F391" s="280" t="s">
        <v>135</v>
      </c>
      <c r="G391" s="11" t="s">
        <v>8</v>
      </c>
      <c r="H391" s="252" t="s">
        <v>1749</v>
      </c>
      <c r="I391" s="295" t="s">
        <v>1750</v>
      </c>
      <c r="J391" s="128" t="s">
        <v>1303</v>
      </c>
      <c r="K391" s="71" t="s">
        <v>2003</v>
      </c>
      <c r="L391" s="56" t="s">
        <v>1727</v>
      </c>
      <c r="M391" s="70" t="s">
        <v>1751</v>
      </c>
      <c r="N391" s="84" t="s">
        <v>1728</v>
      </c>
      <c r="O391" s="53" t="s">
        <v>1675</v>
      </c>
      <c r="P391" s="65" t="s">
        <v>1729</v>
      </c>
      <c r="Q391" s="392" t="s">
        <v>1304</v>
      </c>
    </row>
    <row r="392" spans="1:23" ht="18.5" customHeight="1">
      <c r="A392" s="3" t="s">
        <v>583</v>
      </c>
      <c r="B392" s="240" t="s">
        <v>6</v>
      </c>
      <c r="C392" s="11" t="s">
        <v>4</v>
      </c>
      <c r="D392" s="11" t="s">
        <v>5</v>
      </c>
      <c r="E392" s="11">
        <v>3</v>
      </c>
      <c r="F392" s="280" t="s">
        <v>135</v>
      </c>
      <c r="G392" s="11" t="s">
        <v>9</v>
      </c>
      <c r="H392" s="255">
        <v>14482015</v>
      </c>
      <c r="I392" s="270" t="s">
        <v>1721</v>
      </c>
      <c r="J392" s="128" t="s">
        <v>1305</v>
      </c>
      <c r="K392" s="71" t="s">
        <v>2004</v>
      </c>
      <c r="L392" s="56" t="s">
        <v>1727</v>
      </c>
      <c r="M392" s="70" t="s">
        <v>1751</v>
      </c>
      <c r="N392" s="73" t="s">
        <v>1728</v>
      </c>
      <c r="O392" s="6" t="s">
        <v>1675</v>
      </c>
      <c r="P392" s="65" t="s">
        <v>1729</v>
      </c>
      <c r="Q392" s="393" t="s">
        <v>1306</v>
      </c>
    </row>
    <row r="393" spans="1:23" ht="17">
      <c r="A393" s="3" t="s">
        <v>583</v>
      </c>
      <c r="B393" s="240" t="s">
        <v>6</v>
      </c>
      <c r="C393" s="11" t="s">
        <v>4</v>
      </c>
      <c r="D393" s="11" t="s">
        <v>5</v>
      </c>
      <c r="E393" s="11">
        <v>3</v>
      </c>
      <c r="F393" s="280" t="s">
        <v>135</v>
      </c>
      <c r="G393" s="11" t="s">
        <v>10</v>
      </c>
      <c r="H393" s="6">
        <v>14240596</v>
      </c>
      <c r="I393" s="84" t="s">
        <v>1752</v>
      </c>
      <c r="J393" s="6" t="s">
        <v>1753</v>
      </c>
      <c r="K393" s="67" t="s">
        <v>1754</v>
      </c>
      <c r="L393" s="5" t="s">
        <v>1697</v>
      </c>
      <c r="M393" s="6" t="s">
        <v>1698</v>
      </c>
      <c r="N393" s="54" t="s">
        <v>1699</v>
      </c>
      <c r="O393" s="1" t="s">
        <v>1700</v>
      </c>
      <c r="P393" s="65"/>
    </row>
    <row r="394" spans="1:23" ht="17">
      <c r="A394" s="3" t="s">
        <v>583</v>
      </c>
      <c r="B394" s="240" t="s">
        <v>6</v>
      </c>
      <c r="C394" s="11" t="s">
        <v>4</v>
      </c>
      <c r="D394" s="11" t="s">
        <v>5</v>
      </c>
      <c r="E394" s="11">
        <v>3</v>
      </c>
      <c r="F394" s="280" t="s">
        <v>136</v>
      </c>
      <c r="G394" s="11" t="s">
        <v>8</v>
      </c>
      <c r="H394" s="244">
        <v>14590285</v>
      </c>
      <c r="I394" s="298" t="s">
        <v>1755</v>
      </c>
      <c r="J394" s="271" t="s">
        <v>1756</v>
      </c>
      <c r="K394" s="256" t="s">
        <v>2005</v>
      </c>
      <c r="L394" s="56" t="s">
        <v>1697</v>
      </c>
      <c r="M394" s="62" t="s">
        <v>1741</v>
      </c>
      <c r="N394" s="54" t="s">
        <v>1699</v>
      </c>
      <c r="O394" s="1" t="s">
        <v>1675</v>
      </c>
      <c r="P394" s="230"/>
    </row>
    <row r="395" spans="1:23" ht="17">
      <c r="A395" s="3" t="s">
        <v>583</v>
      </c>
      <c r="B395" s="240" t="s">
        <v>6</v>
      </c>
      <c r="C395" s="11" t="s">
        <v>4</v>
      </c>
      <c r="D395" s="11" t="s">
        <v>5</v>
      </c>
      <c r="E395" s="11">
        <v>3</v>
      </c>
      <c r="F395" s="280" t="s">
        <v>136</v>
      </c>
      <c r="G395" s="11" t="s">
        <v>9</v>
      </c>
      <c r="H395" s="70">
        <v>11483616</v>
      </c>
      <c r="I395" s="364" t="s">
        <v>432</v>
      </c>
      <c r="J395" s="70" t="s">
        <v>1757</v>
      </c>
      <c r="K395" s="129" t="s">
        <v>1758</v>
      </c>
      <c r="L395" s="56" t="s">
        <v>1697</v>
      </c>
      <c r="M395" s="62" t="s">
        <v>1741</v>
      </c>
      <c r="N395" s="54" t="s">
        <v>1699</v>
      </c>
      <c r="O395" s="53" t="s">
        <v>1675</v>
      </c>
      <c r="P395" s="12"/>
      <c r="R395" s="110"/>
      <c r="S395" s="111"/>
      <c r="T395" s="110"/>
      <c r="U395" s="112"/>
      <c r="V395" s="104"/>
      <c r="W395" s="105"/>
    </row>
    <row r="396" spans="1:23" ht="17">
      <c r="A396" s="3" t="s">
        <v>583</v>
      </c>
      <c r="B396" s="240" t="s">
        <v>6</v>
      </c>
      <c r="C396" s="11" t="s">
        <v>4</v>
      </c>
      <c r="D396" s="11" t="s">
        <v>5</v>
      </c>
      <c r="E396" s="11">
        <v>3</v>
      </c>
      <c r="F396" s="280" t="s">
        <v>136</v>
      </c>
      <c r="G396" s="11" t="s">
        <v>10</v>
      </c>
      <c r="H396" s="199" t="s">
        <v>631</v>
      </c>
      <c r="I396" s="208" t="s">
        <v>1759</v>
      </c>
      <c r="J396" s="200" t="s">
        <v>632</v>
      </c>
      <c r="K396" s="208" t="s">
        <v>1760</v>
      </c>
      <c r="L396" s="199" t="s">
        <v>1761</v>
      </c>
      <c r="M396" s="199" t="s">
        <v>1741</v>
      </c>
      <c r="N396" s="54" t="s">
        <v>1762</v>
      </c>
      <c r="O396" s="1" t="s">
        <v>1675</v>
      </c>
      <c r="P396" s="12" t="s">
        <v>2096</v>
      </c>
    </row>
    <row r="397" spans="1:23" ht="17">
      <c r="A397" s="3" t="s">
        <v>583</v>
      </c>
      <c r="B397" s="240" t="s">
        <v>6</v>
      </c>
      <c r="C397" s="11" t="s">
        <v>4</v>
      </c>
      <c r="D397" s="11" t="s">
        <v>5</v>
      </c>
      <c r="E397" s="11">
        <v>3</v>
      </c>
      <c r="F397" s="280" t="s">
        <v>137</v>
      </c>
      <c r="G397" s="11" t="s">
        <v>8</v>
      </c>
      <c r="H397" s="244">
        <v>12483642</v>
      </c>
      <c r="I397" s="298" t="s">
        <v>1721</v>
      </c>
      <c r="J397" s="263" t="s">
        <v>1763</v>
      </c>
      <c r="K397" s="129" t="s">
        <v>2006</v>
      </c>
      <c r="L397" s="56" t="s">
        <v>1697</v>
      </c>
      <c r="M397" s="62" t="s">
        <v>1741</v>
      </c>
      <c r="N397" s="54" t="s">
        <v>1699</v>
      </c>
      <c r="O397" s="1" t="s">
        <v>1675</v>
      </c>
      <c r="P397" s="238"/>
    </row>
    <row r="398" spans="1:23" ht="17">
      <c r="A398" s="3" t="s">
        <v>583</v>
      </c>
      <c r="B398" s="240" t="s">
        <v>6</v>
      </c>
      <c r="C398" s="11" t="s">
        <v>4</v>
      </c>
      <c r="D398" s="11" t="s">
        <v>5</v>
      </c>
      <c r="E398" s="11">
        <v>3</v>
      </c>
      <c r="F398" s="280" t="s">
        <v>137</v>
      </c>
      <c r="G398" s="11" t="s">
        <v>9</v>
      </c>
      <c r="H398" s="244">
        <v>12483694</v>
      </c>
      <c r="I398" s="298" t="s">
        <v>1721</v>
      </c>
      <c r="J398" s="268" t="s">
        <v>1764</v>
      </c>
      <c r="K398" s="129" t="s">
        <v>2007</v>
      </c>
      <c r="L398" s="56" t="s">
        <v>1697</v>
      </c>
      <c r="M398" s="62" t="s">
        <v>1741</v>
      </c>
      <c r="N398" s="54" t="s">
        <v>1699</v>
      </c>
      <c r="O398" s="1" t="s">
        <v>1675</v>
      </c>
      <c r="P398" s="53"/>
      <c r="R398" s="119"/>
      <c r="S398" s="119"/>
    </row>
    <row r="399" spans="1:23" ht="17">
      <c r="A399" s="3" t="s">
        <v>583</v>
      </c>
      <c r="B399" s="240" t="s">
        <v>6</v>
      </c>
      <c r="C399" s="11" t="s">
        <v>4</v>
      </c>
      <c r="D399" s="11" t="s">
        <v>5</v>
      </c>
      <c r="E399" s="11">
        <v>3</v>
      </c>
      <c r="F399" s="280" t="s">
        <v>137</v>
      </c>
      <c r="G399" s="11" t="s">
        <v>10</v>
      </c>
      <c r="H399" s="244">
        <v>12483651</v>
      </c>
      <c r="I399" s="298" t="s">
        <v>1721</v>
      </c>
      <c r="J399" s="268" t="s">
        <v>1765</v>
      </c>
      <c r="K399" s="129" t="s">
        <v>2008</v>
      </c>
      <c r="L399" s="56" t="s">
        <v>679</v>
      </c>
      <c r="M399" s="62" t="s">
        <v>1741</v>
      </c>
      <c r="N399" s="54" t="s">
        <v>1699</v>
      </c>
      <c r="O399" s="1" t="s">
        <v>1675</v>
      </c>
      <c r="P399" s="239"/>
    </row>
    <row r="400" spans="1:23" ht="17">
      <c r="A400" s="3" t="s">
        <v>583</v>
      </c>
      <c r="B400" s="240" t="s">
        <v>6</v>
      </c>
      <c r="C400" s="11" t="s">
        <v>4</v>
      </c>
      <c r="D400" s="11" t="s">
        <v>5</v>
      </c>
      <c r="E400" s="11">
        <v>3</v>
      </c>
      <c r="F400" s="280" t="s">
        <v>138</v>
      </c>
      <c r="G400" s="11" t="s">
        <v>8</v>
      </c>
      <c r="H400" s="212" t="s">
        <v>1766</v>
      </c>
      <c r="I400" s="308" t="s">
        <v>944</v>
      </c>
      <c r="J400" s="128" t="s">
        <v>1767</v>
      </c>
      <c r="K400" s="55" t="s">
        <v>1768</v>
      </c>
      <c r="L400" s="56" t="s">
        <v>1697</v>
      </c>
      <c r="M400" s="272" t="s">
        <v>1741</v>
      </c>
      <c r="N400" s="54" t="s">
        <v>1699</v>
      </c>
      <c r="O400" s="1" t="s">
        <v>1675</v>
      </c>
      <c r="P400" s="230"/>
    </row>
    <row r="401" spans="1:24" ht="17">
      <c r="A401" s="3" t="s">
        <v>583</v>
      </c>
      <c r="B401" s="240" t="s">
        <v>6</v>
      </c>
      <c r="C401" s="11" t="s">
        <v>4</v>
      </c>
      <c r="D401" s="11" t="s">
        <v>5</v>
      </c>
      <c r="E401" s="11">
        <v>3</v>
      </c>
      <c r="F401" s="280" t="s">
        <v>138</v>
      </c>
      <c r="G401" s="11" t="s">
        <v>9</v>
      </c>
      <c r="H401" s="6">
        <v>14640185</v>
      </c>
      <c r="I401" s="73" t="s">
        <v>1769</v>
      </c>
      <c r="J401" s="6" t="s">
        <v>1770</v>
      </c>
      <c r="K401" s="5" t="s">
        <v>1771</v>
      </c>
      <c r="L401" s="5" t="s">
        <v>1697</v>
      </c>
      <c r="M401" s="1" t="s">
        <v>1698</v>
      </c>
      <c r="N401" s="54" t="s">
        <v>1699</v>
      </c>
      <c r="O401" s="1" t="s">
        <v>1700</v>
      </c>
      <c r="P401" s="230"/>
    </row>
    <row r="402" spans="1:24" ht="17">
      <c r="A402" s="3" t="s">
        <v>583</v>
      </c>
      <c r="B402" s="240" t="s">
        <v>6</v>
      </c>
      <c r="C402" s="11" t="s">
        <v>4</v>
      </c>
      <c r="D402" s="11" t="s">
        <v>5</v>
      </c>
      <c r="E402" s="11">
        <v>3</v>
      </c>
      <c r="F402" s="280" t="s">
        <v>138</v>
      </c>
      <c r="G402" s="11" t="s">
        <v>10</v>
      </c>
      <c r="H402" s="6">
        <v>14190432</v>
      </c>
      <c r="I402" s="84" t="s">
        <v>1930</v>
      </c>
      <c r="J402" s="6" t="s">
        <v>1772</v>
      </c>
      <c r="K402" s="67" t="s">
        <v>1773</v>
      </c>
      <c r="L402" s="5" t="s">
        <v>1697</v>
      </c>
      <c r="M402" s="6" t="s">
        <v>1698</v>
      </c>
      <c r="N402" s="84" t="s">
        <v>1699</v>
      </c>
      <c r="O402" s="53" t="s">
        <v>1700</v>
      </c>
      <c r="P402" s="273"/>
    </row>
    <row r="403" spans="1:24" ht="17">
      <c r="A403" s="3" t="s">
        <v>583</v>
      </c>
      <c r="B403" s="240" t="s">
        <v>6</v>
      </c>
      <c r="C403" s="11" t="s">
        <v>4</v>
      </c>
      <c r="D403" s="11" t="s">
        <v>5</v>
      </c>
      <c r="E403" s="11">
        <v>3</v>
      </c>
      <c r="F403" s="280" t="s">
        <v>139</v>
      </c>
      <c r="G403" s="11" t="s">
        <v>8</v>
      </c>
      <c r="H403" s="5" t="s">
        <v>495</v>
      </c>
      <c r="I403" s="66" t="s">
        <v>1308</v>
      </c>
      <c r="J403" s="5" t="s">
        <v>496</v>
      </c>
      <c r="K403" s="66" t="s">
        <v>497</v>
      </c>
      <c r="L403" s="5" t="s">
        <v>1697</v>
      </c>
      <c r="M403" s="6" t="s">
        <v>1698</v>
      </c>
      <c r="N403" s="54" t="s">
        <v>1699</v>
      </c>
      <c r="O403" s="1" t="s">
        <v>1700</v>
      </c>
      <c r="P403" s="12"/>
    </row>
    <row r="404" spans="1:24" ht="17">
      <c r="A404" s="3" t="s">
        <v>583</v>
      </c>
      <c r="B404" s="240" t="s">
        <v>6</v>
      </c>
      <c r="C404" s="11" t="s">
        <v>4</v>
      </c>
      <c r="D404" s="11" t="s">
        <v>5</v>
      </c>
      <c r="E404" s="11">
        <v>3</v>
      </c>
      <c r="F404" s="280" t="s">
        <v>139</v>
      </c>
      <c r="G404" s="11" t="s">
        <v>9</v>
      </c>
      <c r="H404" s="5" t="s">
        <v>498</v>
      </c>
      <c r="I404" s="66" t="s">
        <v>489</v>
      </c>
      <c r="J404" s="5" t="s">
        <v>499</v>
      </c>
      <c r="K404" s="66" t="s">
        <v>500</v>
      </c>
      <c r="L404" s="5" t="s">
        <v>679</v>
      </c>
      <c r="M404" s="6" t="s">
        <v>1698</v>
      </c>
      <c r="N404" s="54" t="s">
        <v>1699</v>
      </c>
      <c r="O404" s="1" t="s">
        <v>1700</v>
      </c>
      <c r="P404" s="12"/>
    </row>
    <row r="405" spans="1:24" ht="17">
      <c r="A405" s="3" t="s">
        <v>583</v>
      </c>
      <c r="B405" s="240" t="s">
        <v>6</v>
      </c>
      <c r="C405" s="11" t="s">
        <v>4</v>
      </c>
      <c r="D405" s="11" t="s">
        <v>5</v>
      </c>
      <c r="E405" s="11">
        <v>3</v>
      </c>
      <c r="F405" s="280" t="s">
        <v>139</v>
      </c>
      <c r="G405" s="11" t="s">
        <v>10</v>
      </c>
      <c r="H405" s="5" t="s">
        <v>1309</v>
      </c>
      <c r="I405" s="133" t="s">
        <v>1030</v>
      </c>
      <c r="J405" s="5" t="s">
        <v>1310</v>
      </c>
      <c r="K405" s="66" t="s">
        <v>1311</v>
      </c>
      <c r="L405" s="5" t="s">
        <v>679</v>
      </c>
      <c r="M405" s="6" t="s">
        <v>1698</v>
      </c>
      <c r="N405" s="54" t="s">
        <v>1699</v>
      </c>
      <c r="O405" s="1" t="s">
        <v>1700</v>
      </c>
      <c r="P405" s="230"/>
    </row>
    <row r="406" spans="1:24" s="292" customFormat="1" ht="17">
      <c r="A406" s="130" t="s">
        <v>583</v>
      </c>
      <c r="B406" s="290" t="s">
        <v>6</v>
      </c>
      <c r="C406" s="80" t="s">
        <v>4</v>
      </c>
      <c r="D406" s="80" t="s">
        <v>5</v>
      </c>
      <c r="E406" s="11">
        <v>3</v>
      </c>
      <c r="F406" s="280" t="s">
        <v>140</v>
      </c>
      <c r="G406" s="11" t="s">
        <v>8</v>
      </c>
      <c r="H406" s="53">
        <v>12130162</v>
      </c>
      <c r="I406" s="54" t="s">
        <v>1861</v>
      </c>
      <c r="J406" s="6" t="s">
        <v>1862</v>
      </c>
      <c r="K406" s="67" t="s">
        <v>1863</v>
      </c>
      <c r="L406" s="5" t="s">
        <v>679</v>
      </c>
      <c r="M406" s="6" t="s">
        <v>308</v>
      </c>
      <c r="N406" s="77" t="s">
        <v>1699</v>
      </c>
      <c r="O406" s="1" t="s">
        <v>1675</v>
      </c>
      <c r="P406" s="291"/>
      <c r="Q406" s="119"/>
    </row>
    <row r="407" spans="1:24" ht="17">
      <c r="A407" s="3" t="s">
        <v>583</v>
      </c>
      <c r="B407" s="240" t="s">
        <v>6</v>
      </c>
      <c r="C407" s="11" t="s">
        <v>4</v>
      </c>
      <c r="D407" s="11" t="s">
        <v>5</v>
      </c>
      <c r="E407" s="11">
        <v>3</v>
      </c>
      <c r="F407" s="280" t="s">
        <v>140</v>
      </c>
      <c r="G407" s="11" t="s">
        <v>9</v>
      </c>
      <c r="H407" s="244">
        <v>14480061</v>
      </c>
      <c r="I407" s="298" t="s">
        <v>1774</v>
      </c>
      <c r="J407" s="274" t="s">
        <v>1775</v>
      </c>
      <c r="K407" s="72" t="s">
        <v>2009</v>
      </c>
      <c r="L407" s="56" t="s">
        <v>1904</v>
      </c>
      <c r="M407" s="70" t="s">
        <v>1312</v>
      </c>
      <c r="N407" s="54" t="s">
        <v>1707</v>
      </c>
      <c r="O407" s="1" t="s">
        <v>1776</v>
      </c>
      <c r="P407" s="230"/>
    </row>
    <row r="408" spans="1:24" ht="17">
      <c r="A408" s="3" t="s">
        <v>583</v>
      </c>
      <c r="B408" s="240" t="s">
        <v>6</v>
      </c>
      <c r="C408" s="11" t="s">
        <v>4</v>
      </c>
      <c r="D408" s="11" t="s">
        <v>5</v>
      </c>
      <c r="E408" s="11">
        <v>3</v>
      </c>
      <c r="F408" s="280" t="s">
        <v>140</v>
      </c>
      <c r="G408" s="11" t="s">
        <v>10</v>
      </c>
      <c r="H408" s="244">
        <v>14140684</v>
      </c>
      <c r="I408" s="257" t="s">
        <v>1777</v>
      </c>
      <c r="J408" s="244" t="s">
        <v>1778</v>
      </c>
      <c r="K408" s="129" t="s">
        <v>2010</v>
      </c>
      <c r="L408" s="56" t="s">
        <v>1904</v>
      </c>
      <c r="M408" s="70" t="s">
        <v>1779</v>
      </c>
      <c r="N408" s="54" t="s">
        <v>1707</v>
      </c>
      <c r="O408" s="1" t="s">
        <v>1776</v>
      </c>
      <c r="P408" s="230"/>
      <c r="X408" s="106"/>
    </row>
    <row r="409" spans="1:24" ht="17">
      <c r="A409" s="3" t="s">
        <v>583</v>
      </c>
      <c r="B409" s="240" t="s">
        <v>6</v>
      </c>
      <c r="C409" s="11" t="s">
        <v>4</v>
      </c>
      <c r="D409" s="11" t="s">
        <v>5</v>
      </c>
      <c r="E409" s="11">
        <v>3</v>
      </c>
      <c r="F409" s="280" t="s">
        <v>141</v>
      </c>
      <c r="G409" s="11" t="s">
        <v>8</v>
      </c>
      <c r="H409" s="244">
        <v>12483685</v>
      </c>
      <c r="I409" s="298" t="s">
        <v>1780</v>
      </c>
      <c r="J409" s="275" t="s">
        <v>1781</v>
      </c>
      <c r="K409" s="129" t="s">
        <v>2011</v>
      </c>
      <c r="L409" s="56" t="s">
        <v>1705</v>
      </c>
      <c r="M409" s="62" t="s">
        <v>1782</v>
      </c>
      <c r="N409" s="54" t="s">
        <v>1707</v>
      </c>
      <c r="O409" s="1" t="s">
        <v>1776</v>
      </c>
      <c r="P409" s="327"/>
    </row>
    <row r="410" spans="1:24" ht="17">
      <c r="A410" s="3" t="s">
        <v>583</v>
      </c>
      <c r="B410" s="240" t="s">
        <v>6</v>
      </c>
      <c r="C410" s="11" t="s">
        <v>4</v>
      </c>
      <c r="D410" s="11" t="s">
        <v>5</v>
      </c>
      <c r="E410" s="11">
        <v>3</v>
      </c>
      <c r="F410" s="280" t="s">
        <v>141</v>
      </c>
      <c r="G410" s="11" t="s">
        <v>9</v>
      </c>
      <c r="H410" s="244">
        <v>12483615</v>
      </c>
      <c r="I410" s="298" t="s">
        <v>1780</v>
      </c>
      <c r="J410" s="275" t="s">
        <v>1783</v>
      </c>
      <c r="K410" s="129" t="s">
        <v>2012</v>
      </c>
      <c r="L410" s="56" t="s">
        <v>679</v>
      </c>
      <c r="M410" s="272" t="s">
        <v>1782</v>
      </c>
      <c r="N410" s="54" t="s">
        <v>1707</v>
      </c>
      <c r="O410" s="1" t="s">
        <v>1776</v>
      </c>
      <c r="P410" s="230"/>
    </row>
    <row r="411" spans="1:24" ht="17">
      <c r="A411" s="3" t="s">
        <v>583</v>
      </c>
      <c r="B411" s="240" t="s">
        <v>6</v>
      </c>
      <c r="C411" s="11" t="s">
        <v>4</v>
      </c>
      <c r="D411" s="11" t="s">
        <v>5</v>
      </c>
      <c r="E411" s="11">
        <v>3</v>
      </c>
      <c r="F411" s="280" t="s">
        <v>141</v>
      </c>
      <c r="G411" s="11" t="s">
        <v>10</v>
      </c>
      <c r="H411" s="244">
        <v>12483676</v>
      </c>
      <c r="I411" s="298" t="s">
        <v>1780</v>
      </c>
      <c r="J411" s="267" t="s">
        <v>1307</v>
      </c>
      <c r="K411" s="72" t="s">
        <v>2013</v>
      </c>
      <c r="L411" s="56" t="s">
        <v>1705</v>
      </c>
      <c r="M411" s="62" t="s">
        <v>1782</v>
      </c>
      <c r="N411" s="54" t="s">
        <v>1707</v>
      </c>
      <c r="O411" s="1" t="s">
        <v>1776</v>
      </c>
      <c r="P411" s="230"/>
      <c r="R411" s="85"/>
      <c r="S411" s="113"/>
      <c r="T411" s="114"/>
      <c r="U411" s="91"/>
      <c r="V411" s="104"/>
    </row>
    <row r="412" spans="1:24" ht="17">
      <c r="A412" s="3" t="s">
        <v>583</v>
      </c>
      <c r="B412" s="240" t="s">
        <v>6</v>
      </c>
      <c r="C412" s="11" t="s">
        <v>4</v>
      </c>
      <c r="D412" s="11" t="s">
        <v>5</v>
      </c>
      <c r="E412" s="11">
        <v>3</v>
      </c>
      <c r="F412" s="280" t="s">
        <v>142</v>
      </c>
      <c r="G412" s="11" t="s">
        <v>8</v>
      </c>
      <c r="H412" s="193">
        <v>13391492</v>
      </c>
      <c r="I412" s="309" t="s">
        <v>1931</v>
      </c>
      <c r="J412" s="128" t="s">
        <v>1784</v>
      </c>
      <c r="K412" s="72" t="s">
        <v>1785</v>
      </c>
      <c r="L412" s="56" t="s">
        <v>1786</v>
      </c>
      <c r="M412" s="62" t="s">
        <v>1787</v>
      </c>
      <c r="N412" s="54" t="s">
        <v>1788</v>
      </c>
      <c r="O412" s="1" t="s">
        <v>1736</v>
      </c>
      <c r="P412" s="1"/>
    </row>
    <row r="413" spans="1:24" ht="17">
      <c r="A413" s="3" t="s">
        <v>583</v>
      </c>
      <c r="B413" s="240" t="s">
        <v>6</v>
      </c>
      <c r="C413" s="11" t="s">
        <v>4</v>
      </c>
      <c r="D413" s="11" t="s">
        <v>5</v>
      </c>
      <c r="E413" s="11">
        <v>3</v>
      </c>
      <c r="F413" s="280" t="s">
        <v>142</v>
      </c>
      <c r="G413" s="11" t="s">
        <v>9</v>
      </c>
      <c r="H413" s="193">
        <v>13391502</v>
      </c>
      <c r="I413" s="309" t="s">
        <v>1931</v>
      </c>
      <c r="J413" s="211" t="s">
        <v>1789</v>
      </c>
      <c r="K413" s="129" t="s">
        <v>1790</v>
      </c>
      <c r="L413" s="56" t="s">
        <v>1786</v>
      </c>
      <c r="M413" s="62" t="s">
        <v>1787</v>
      </c>
      <c r="N413" s="54" t="s">
        <v>1788</v>
      </c>
      <c r="O413" s="1" t="s">
        <v>1736</v>
      </c>
      <c r="P413" s="12"/>
    </row>
    <row r="414" spans="1:24" ht="17">
      <c r="A414" s="3" t="s">
        <v>583</v>
      </c>
      <c r="B414" s="240" t="s">
        <v>6</v>
      </c>
      <c r="C414" s="11" t="s">
        <v>4</v>
      </c>
      <c r="D414" s="11" t="s">
        <v>5</v>
      </c>
      <c r="E414" s="11">
        <v>3</v>
      </c>
      <c r="F414" s="280" t="s">
        <v>142</v>
      </c>
      <c r="G414" s="11" t="s">
        <v>10</v>
      </c>
      <c r="H414" s="55" t="s">
        <v>1791</v>
      </c>
      <c r="I414" s="259" t="s">
        <v>453</v>
      </c>
      <c r="J414" s="70" t="s">
        <v>1792</v>
      </c>
      <c r="K414" s="129" t="s">
        <v>1793</v>
      </c>
      <c r="L414" s="56" t="s">
        <v>1786</v>
      </c>
      <c r="M414" s="403" t="s">
        <v>1787</v>
      </c>
      <c r="N414" s="54" t="s">
        <v>1788</v>
      </c>
      <c r="O414" s="53" t="s">
        <v>1736</v>
      </c>
      <c r="P414" s="12"/>
    </row>
    <row r="415" spans="1:24" ht="17">
      <c r="A415" s="3" t="s">
        <v>583</v>
      </c>
      <c r="B415" s="240" t="s">
        <v>6</v>
      </c>
      <c r="C415" s="11" t="s">
        <v>4</v>
      </c>
      <c r="D415" s="11" t="s">
        <v>5</v>
      </c>
      <c r="E415" s="11">
        <v>3</v>
      </c>
      <c r="F415" s="280" t="s">
        <v>143</v>
      </c>
      <c r="G415" s="11" t="s">
        <v>8</v>
      </c>
      <c r="H415" s="53">
        <v>13751231</v>
      </c>
      <c r="I415" s="54" t="s">
        <v>1879</v>
      </c>
      <c r="J415" s="6" t="s">
        <v>1880</v>
      </c>
      <c r="K415" s="67" t="s">
        <v>1881</v>
      </c>
      <c r="L415" s="5" t="s">
        <v>679</v>
      </c>
      <c r="M415" s="6" t="s">
        <v>308</v>
      </c>
      <c r="N415" s="54" t="s">
        <v>396</v>
      </c>
      <c r="O415" s="1" t="s">
        <v>582</v>
      </c>
      <c r="P415" s="230"/>
    </row>
    <row r="416" spans="1:24" ht="17">
      <c r="A416" s="3" t="s">
        <v>583</v>
      </c>
      <c r="B416" s="240" t="s">
        <v>6</v>
      </c>
      <c r="C416" s="11" t="s">
        <v>4</v>
      </c>
      <c r="D416" s="11" t="s">
        <v>5</v>
      </c>
      <c r="E416" s="11">
        <v>3</v>
      </c>
      <c r="F416" s="280" t="s">
        <v>143</v>
      </c>
      <c r="G416" s="11" t="s">
        <v>9</v>
      </c>
      <c r="H416" s="53">
        <v>12440655</v>
      </c>
      <c r="I416" s="54" t="s">
        <v>1725</v>
      </c>
      <c r="J416" s="6" t="s">
        <v>1882</v>
      </c>
      <c r="K416" s="67" t="s">
        <v>1883</v>
      </c>
      <c r="L416" s="5" t="s">
        <v>679</v>
      </c>
      <c r="M416" s="6" t="s">
        <v>308</v>
      </c>
      <c r="N416" s="54" t="s">
        <v>396</v>
      </c>
      <c r="O416" s="1" t="s">
        <v>582</v>
      </c>
      <c r="P416" s="230"/>
    </row>
    <row r="417" spans="1:17" ht="17">
      <c r="A417" s="3" t="s">
        <v>583</v>
      </c>
      <c r="B417" s="240" t="s">
        <v>6</v>
      </c>
      <c r="C417" s="11" t="s">
        <v>4</v>
      </c>
      <c r="D417" s="11" t="s">
        <v>5</v>
      </c>
      <c r="E417" s="11">
        <v>3</v>
      </c>
      <c r="F417" s="280" t="s">
        <v>143</v>
      </c>
      <c r="G417" s="11" t="s">
        <v>10</v>
      </c>
      <c r="H417" s="62">
        <v>11590325</v>
      </c>
      <c r="I417" s="324" t="s">
        <v>1886</v>
      </c>
      <c r="J417" s="325" t="s">
        <v>1885</v>
      </c>
      <c r="K417" s="326" t="s">
        <v>1884</v>
      </c>
      <c r="L417" s="56" t="s">
        <v>679</v>
      </c>
      <c r="M417" s="62" t="s">
        <v>1893</v>
      </c>
      <c r="N417" s="54" t="s">
        <v>396</v>
      </c>
      <c r="O417" s="1" t="s">
        <v>581</v>
      </c>
      <c r="P417" s="327" t="s">
        <v>1892</v>
      </c>
    </row>
    <row r="418" spans="1:17" ht="17">
      <c r="A418" s="3" t="s">
        <v>583</v>
      </c>
      <c r="B418" s="240" t="s">
        <v>6</v>
      </c>
      <c r="C418" s="11" t="s">
        <v>4</v>
      </c>
      <c r="D418" s="11" t="s">
        <v>5</v>
      </c>
      <c r="E418" s="11">
        <v>3</v>
      </c>
      <c r="F418" s="280" t="s">
        <v>193</v>
      </c>
      <c r="G418" s="11" t="s">
        <v>194</v>
      </c>
      <c r="H418" s="53">
        <v>10450296</v>
      </c>
      <c r="I418" s="54" t="s">
        <v>1894</v>
      </c>
      <c r="J418" s="6" t="s">
        <v>1887</v>
      </c>
      <c r="K418" s="67" t="s">
        <v>1888</v>
      </c>
      <c r="L418" s="5" t="s">
        <v>679</v>
      </c>
      <c r="M418" s="6" t="s">
        <v>308</v>
      </c>
      <c r="N418" s="54" t="s">
        <v>396</v>
      </c>
      <c r="O418" s="1" t="s">
        <v>582</v>
      </c>
      <c r="P418" s="12"/>
    </row>
    <row r="419" spans="1:17" ht="17">
      <c r="A419" s="3" t="s">
        <v>583</v>
      </c>
      <c r="B419" s="240" t="s">
        <v>6</v>
      </c>
      <c r="C419" s="11" t="s">
        <v>4</v>
      </c>
      <c r="D419" s="11" t="s">
        <v>5</v>
      </c>
      <c r="E419" s="11">
        <v>3</v>
      </c>
      <c r="F419" s="280" t="s">
        <v>144</v>
      </c>
      <c r="G419" s="11" t="s">
        <v>9</v>
      </c>
      <c r="H419" s="53">
        <v>14440813</v>
      </c>
      <c r="I419" s="54" t="s">
        <v>1876</v>
      </c>
      <c r="J419" s="6" t="s">
        <v>1877</v>
      </c>
      <c r="K419" s="67" t="s">
        <v>1878</v>
      </c>
      <c r="L419" s="5" t="s">
        <v>679</v>
      </c>
      <c r="M419" s="6" t="s">
        <v>308</v>
      </c>
      <c r="N419" s="54" t="s">
        <v>396</v>
      </c>
      <c r="O419" s="1" t="s">
        <v>582</v>
      </c>
      <c r="P419" s="230"/>
    </row>
    <row r="420" spans="1:17" ht="17">
      <c r="A420" s="3" t="s">
        <v>583</v>
      </c>
      <c r="B420" s="240" t="s">
        <v>6</v>
      </c>
      <c r="C420" s="11" t="s">
        <v>4</v>
      </c>
      <c r="D420" s="11" t="s">
        <v>5</v>
      </c>
      <c r="E420" s="11">
        <v>3</v>
      </c>
      <c r="F420" s="280" t="s">
        <v>144</v>
      </c>
      <c r="G420" s="11" t="s">
        <v>10</v>
      </c>
      <c r="H420" s="6">
        <v>13440335</v>
      </c>
      <c r="I420" s="6" t="s">
        <v>1896</v>
      </c>
      <c r="J420" s="6" t="s">
        <v>1895</v>
      </c>
      <c r="K420" s="5" t="s">
        <v>1897</v>
      </c>
      <c r="L420" s="5" t="s">
        <v>679</v>
      </c>
      <c r="M420" s="6" t="s">
        <v>308</v>
      </c>
      <c r="N420" s="54" t="s">
        <v>396</v>
      </c>
      <c r="O420" s="1" t="s">
        <v>582</v>
      </c>
      <c r="P420" s="230"/>
    </row>
    <row r="421" spans="1:17" ht="17">
      <c r="A421" s="3" t="s">
        <v>583</v>
      </c>
      <c r="B421" s="240" t="s">
        <v>6</v>
      </c>
      <c r="C421" s="11" t="s">
        <v>4</v>
      </c>
      <c r="D421" s="11" t="s">
        <v>5</v>
      </c>
      <c r="E421" s="11">
        <v>3</v>
      </c>
      <c r="F421" s="280" t="s">
        <v>145</v>
      </c>
      <c r="G421" s="11" t="s">
        <v>8</v>
      </c>
      <c r="H421" s="5" t="s">
        <v>1349</v>
      </c>
      <c r="I421" s="66" t="s">
        <v>272</v>
      </c>
      <c r="J421" s="5" t="s">
        <v>1350</v>
      </c>
      <c r="K421" s="68" t="s">
        <v>1351</v>
      </c>
      <c r="L421" s="5" t="s">
        <v>679</v>
      </c>
      <c r="M421" s="6" t="s">
        <v>308</v>
      </c>
      <c r="N421" s="54" t="s">
        <v>396</v>
      </c>
      <c r="O421" s="1" t="s">
        <v>582</v>
      </c>
      <c r="P421" s="67" t="s">
        <v>1352</v>
      </c>
    </row>
    <row r="422" spans="1:17" ht="17">
      <c r="A422" s="3" t="s">
        <v>583</v>
      </c>
      <c r="B422" s="240" t="s">
        <v>6</v>
      </c>
      <c r="C422" s="11" t="s">
        <v>4</v>
      </c>
      <c r="D422" s="11" t="s">
        <v>5</v>
      </c>
      <c r="E422" s="11">
        <v>3</v>
      </c>
      <c r="F422" s="280" t="s">
        <v>145</v>
      </c>
      <c r="G422" s="11" t="s">
        <v>9</v>
      </c>
      <c r="H422" s="53">
        <v>10421321</v>
      </c>
      <c r="I422" s="54" t="s">
        <v>1901</v>
      </c>
      <c r="J422" s="6" t="s">
        <v>1902</v>
      </c>
      <c r="K422" s="67" t="s">
        <v>1903</v>
      </c>
      <c r="L422" s="5" t="s">
        <v>679</v>
      </c>
      <c r="M422" s="6" t="s">
        <v>308</v>
      </c>
      <c r="N422" s="54" t="s">
        <v>396</v>
      </c>
      <c r="O422" s="1" t="s">
        <v>582</v>
      </c>
      <c r="P422" s="230"/>
    </row>
    <row r="423" spans="1:17" ht="17">
      <c r="A423" s="3" t="s">
        <v>583</v>
      </c>
      <c r="B423" s="240" t="s">
        <v>6</v>
      </c>
      <c r="C423" s="11" t="s">
        <v>4</v>
      </c>
      <c r="D423" s="11" t="s">
        <v>5</v>
      </c>
      <c r="E423" s="11">
        <v>3</v>
      </c>
      <c r="F423" s="280" t="s">
        <v>145</v>
      </c>
      <c r="G423" s="11" t="s">
        <v>10</v>
      </c>
      <c r="H423" s="53">
        <v>14360250</v>
      </c>
      <c r="I423" s="54" t="s">
        <v>1984</v>
      </c>
      <c r="J423" s="6" t="s">
        <v>1985</v>
      </c>
      <c r="K423" s="67" t="s">
        <v>1986</v>
      </c>
      <c r="L423" s="5" t="s">
        <v>679</v>
      </c>
      <c r="M423" s="6" t="s">
        <v>308</v>
      </c>
      <c r="N423" s="54" t="s">
        <v>396</v>
      </c>
      <c r="O423" s="1" t="s">
        <v>582</v>
      </c>
      <c r="P423" s="230"/>
    </row>
    <row r="424" spans="1:17" ht="17">
      <c r="A424" s="3" t="s">
        <v>583</v>
      </c>
      <c r="B424" s="240" t="s">
        <v>6</v>
      </c>
      <c r="C424" s="11" t="s">
        <v>4</v>
      </c>
      <c r="D424" s="11" t="s">
        <v>5</v>
      </c>
      <c r="E424" s="11">
        <v>3</v>
      </c>
      <c r="F424" s="280" t="s">
        <v>146</v>
      </c>
      <c r="G424" s="11" t="s">
        <v>8</v>
      </c>
      <c r="H424" s="228"/>
      <c r="I424" s="328"/>
      <c r="J424" s="83"/>
      <c r="K424" s="147"/>
      <c r="L424" s="5"/>
      <c r="M424" s="6"/>
      <c r="N424" s="84"/>
      <c r="O424" s="53"/>
      <c r="P424" s="230"/>
    </row>
    <row r="425" spans="1:17" ht="17">
      <c r="A425" s="3" t="s">
        <v>583</v>
      </c>
      <c r="B425" s="240" t="s">
        <v>6</v>
      </c>
      <c r="C425" s="11" t="s">
        <v>4</v>
      </c>
      <c r="D425" s="11" t="s">
        <v>5</v>
      </c>
      <c r="E425" s="11">
        <v>3</v>
      </c>
      <c r="F425" s="280" t="s">
        <v>146</v>
      </c>
      <c r="G425" s="11" t="s">
        <v>9</v>
      </c>
      <c r="H425" s="228"/>
      <c r="I425" s="328"/>
      <c r="J425" s="83"/>
      <c r="K425" s="147"/>
      <c r="L425" s="5"/>
      <c r="M425" s="6"/>
      <c r="N425" s="84"/>
      <c r="O425" s="53"/>
      <c r="P425" s="230"/>
    </row>
    <row r="426" spans="1:17" ht="17">
      <c r="A426" s="3" t="s">
        <v>583</v>
      </c>
      <c r="B426" s="240" t="s">
        <v>6</v>
      </c>
      <c r="C426" s="11" t="s">
        <v>4</v>
      </c>
      <c r="D426" s="11" t="s">
        <v>5</v>
      </c>
      <c r="E426" s="11">
        <v>3</v>
      </c>
      <c r="F426" s="280" t="s">
        <v>146</v>
      </c>
      <c r="G426" s="11" t="s">
        <v>10</v>
      </c>
      <c r="H426" s="228"/>
      <c r="I426" s="329"/>
      <c r="J426" s="83"/>
      <c r="K426" s="330"/>
      <c r="L426" s="5"/>
      <c r="M426" s="53"/>
      <c r="N426" s="54"/>
      <c r="O426" s="1"/>
      <c r="P426" s="12"/>
    </row>
    <row r="427" spans="1:17" ht="17">
      <c r="A427" s="3" t="s">
        <v>583</v>
      </c>
      <c r="B427" s="240" t="s">
        <v>6</v>
      </c>
      <c r="C427" s="11" t="s">
        <v>4</v>
      </c>
      <c r="D427" s="11" t="s">
        <v>5</v>
      </c>
      <c r="E427" s="11">
        <v>3</v>
      </c>
      <c r="F427" s="280" t="s">
        <v>147</v>
      </c>
      <c r="G427" s="11" t="s">
        <v>8</v>
      </c>
      <c r="H427" s="228"/>
      <c r="I427" s="328"/>
      <c r="J427" s="83"/>
      <c r="K427" s="147"/>
      <c r="L427" s="5"/>
      <c r="M427" s="6"/>
      <c r="N427" s="84"/>
      <c r="O427" s="53"/>
      <c r="P427" s="230"/>
    </row>
    <row r="428" spans="1:17" ht="17">
      <c r="A428" s="3" t="s">
        <v>583</v>
      </c>
      <c r="B428" s="240" t="s">
        <v>6</v>
      </c>
      <c r="C428" s="11" t="s">
        <v>4</v>
      </c>
      <c r="D428" s="11" t="s">
        <v>5</v>
      </c>
      <c r="E428" s="11">
        <v>3</v>
      </c>
      <c r="F428" s="280" t="s">
        <v>147</v>
      </c>
      <c r="G428" s="11" t="s">
        <v>9</v>
      </c>
      <c r="H428" s="228"/>
      <c r="I428" s="328"/>
      <c r="J428" s="83"/>
      <c r="K428" s="147"/>
      <c r="L428" s="5"/>
      <c r="M428" s="6"/>
      <c r="N428" s="84"/>
      <c r="O428" s="53"/>
      <c r="P428" s="230"/>
    </row>
    <row r="429" spans="1:17" ht="17">
      <c r="A429" s="3" t="s">
        <v>583</v>
      </c>
      <c r="B429" s="240" t="s">
        <v>6</v>
      </c>
      <c r="C429" s="11" t="s">
        <v>4</v>
      </c>
      <c r="D429" s="11" t="s">
        <v>5</v>
      </c>
      <c r="E429" s="11">
        <v>3</v>
      </c>
      <c r="F429" s="280" t="s">
        <v>147</v>
      </c>
      <c r="G429" s="11" t="s">
        <v>10</v>
      </c>
      <c r="H429" s="228"/>
      <c r="I429" s="328"/>
      <c r="J429" s="83"/>
      <c r="K429" s="147"/>
      <c r="L429" s="5"/>
      <c r="M429" s="6"/>
      <c r="N429" s="84"/>
      <c r="O429" s="53"/>
      <c r="P429" s="230"/>
    </row>
    <row r="430" spans="1:17" ht="17">
      <c r="A430" s="3" t="s">
        <v>583</v>
      </c>
      <c r="B430" s="240" t="s">
        <v>6</v>
      </c>
      <c r="C430" s="11" t="s">
        <v>4</v>
      </c>
      <c r="D430" s="11" t="s">
        <v>5</v>
      </c>
      <c r="E430" s="11">
        <v>3</v>
      </c>
      <c r="F430" s="280" t="s">
        <v>148</v>
      </c>
      <c r="G430" s="11" t="s">
        <v>8</v>
      </c>
      <c r="H430" s="70">
        <v>12040252</v>
      </c>
      <c r="I430" s="70" t="s">
        <v>2087</v>
      </c>
      <c r="J430" s="70" t="s">
        <v>2088</v>
      </c>
      <c r="K430" s="129" t="s">
        <v>2089</v>
      </c>
      <c r="L430" s="5" t="s">
        <v>679</v>
      </c>
      <c r="M430" s="5" t="s">
        <v>292</v>
      </c>
      <c r="N430" s="84" t="s">
        <v>2090</v>
      </c>
      <c r="O430" s="53" t="s">
        <v>2091</v>
      </c>
      <c r="P430" s="318" t="s">
        <v>2093</v>
      </c>
    </row>
    <row r="431" spans="1:17" ht="17">
      <c r="A431" s="3" t="s">
        <v>583</v>
      </c>
      <c r="B431" s="240" t="s">
        <v>6</v>
      </c>
      <c r="C431" s="11" t="s">
        <v>4</v>
      </c>
      <c r="D431" s="11" t="s">
        <v>5</v>
      </c>
      <c r="E431" s="11">
        <v>3</v>
      </c>
      <c r="F431" s="280" t="s">
        <v>148</v>
      </c>
      <c r="G431" s="11" t="s">
        <v>9</v>
      </c>
      <c r="H431" s="313" t="s">
        <v>1933</v>
      </c>
      <c r="I431" s="361" t="s">
        <v>1497</v>
      </c>
      <c r="J431" s="354" t="s">
        <v>1934</v>
      </c>
      <c r="K431" s="355" t="s">
        <v>2014</v>
      </c>
      <c r="L431" s="354" t="s">
        <v>680</v>
      </c>
      <c r="M431" s="356" t="s">
        <v>292</v>
      </c>
      <c r="N431" s="54" t="s">
        <v>643</v>
      </c>
      <c r="O431" s="1" t="s">
        <v>581</v>
      </c>
      <c r="P431" s="338" t="s">
        <v>1937</v>
      </c>
      <c r="Q431" s="119" t="s">
        <v>2104</v>
      </c>
    </row>
    <row r="432" spans="1:17" ht="17">
      <c r="A432" s="3" t="s">
        <v>583</v>
      </c>
      <c r="B432" s="240" t="s">
        <v>6</v>
      </c>
      <c r="C432" s="11" t="s">
        <v>4</v>
      </c>
      <c r="D432" s="11" t="s">
        <v>5</v>
      </c>
      <c r="E432" s="11">
        <v>3</v>
      </c>
      <c r="F432" s="280" t="s">
        <v>148</v>
      </c>
      <c r="G432" s="11" t="s">
        <v>10</v>
      </c>
      <c r="H432" s="313" t="s">
        <v>1935</v>
      </c>
      <c r="I432" s="361" t="s">
        <v>1497</v>
      </c>
      <c r="J432" s="354" t="s">
        <v>1936</v>
      </c>
      <c r="K432" s="355" t="s">
        <v>2015</v>
      </c>
      <c r="L432" s="354" t="s">
        <v>680</v>
      </c>
      <c r="M432" s="356" t="s">
        <v>292</v>
      </c>
      <c r="N432" s="54" t="s">
        <v>643</v>
      </c>
      <c r="O432" s="1" t="s">
        <v>581</v>
      </c>
      <c r="P432" s="338" t="s">
        <v>1938</v>
      </c>
      <c r="Q432" s="119" t="s">
        <v>2105</v>
      </c>
    </row>
    <row r="433" spans="1:20" ht="17">
      <c r="A433" s="3" t="s">
        <v>583</v>
      </c>
      <c r="B433" s="240" t="s">
        <v>6</v>
      </c>
      <c r="C433" s="11" t="s">
        <v>4</v>
      </c>
      <c r="D433" s="11" t="s">
        <v>5</v>
      </c>
      <c r="E433" s="11">
        <v>3</v>
      </c>
      <c r="F433" s="280" t="s">
        <v>149</v>
      </c>
      <c r="G433" s="11" t="s">
        <v>8</v>
      </c>
      <c r="H433" s="313" t="s">
        <v>1939</v>
      </c>
      <c r="I433" s="361" t="s">
        <v>1497</v>
      </c>
      <c r="J433" s="354" t="s">
        <v>1940</v>
      </c>
      <c r="K433" s="367" t="s">
        <v>2016</v>
      </c>
      <c r="L433" s="354" t="s">
        <v>680</v>
      </c>
      <c r="M433" s="356" t="s">
        <v>292</v>
      </c>
      <c r="N433" s="54" t="s">
        <v>643</v>
      </c>
      <c r="O433" s="1" t="s">
        <v>581</v>
      </c>
      <c r="P433" s="358" t="s">
        <v>1943</v>
      </c>
      <c r="Q433" s="119" t="s">
        <v>2106</v>
      </c>
    </row>
    <row r="434" spans="1:20" ht="17">
      <c r="A434" s="3" t="s">
        <v>583</v>
      </c>
      <c r="B434" s="240" t="s">
        <v>6</v>
      </c>
      <c r="C434" s="11" t="s">
        <v>4</v>
      </c>
      <c r="D434" s="11" t="s">
        <v>5</v>
      </c>
      <c r="E434" s="11">
        <v>3</v>
      </c>
      <c r="F434" s="280" t="s">
        <v>149</v>
      </c>
      <c r="G434" s="11" t="s">
        <v>9</v>
      </c>
      <c r="H434" s="313" t="s">
        <v>1941</v>
      </c>
      <c r="I434" s="355" t="s">
        <v>1499</v>
      </c>
      <c r="J434" s="354" t="s">
        <v>1942</v>
      </c>
      <c r="K434" s="367" t="s">
        <v>2017</v>
      </c>
      <c r="L434" s="354" t="s">
        <v>680</v>
      </c>
      <c r="M434" s="356" t="s">
        <v>292</v>
      </c>
      <c r="N434" s="54" t="s">
        <v>643</v>
      </c>
      <c r="O434" s="1" t="s">
        <v>581</v>
      </c>
      <c r="P434" s="358" t="s">
        <v>1944</v>
      </c>
      <c r="Q434" s="119" t="s">
        <v>2107</v>
      </c>
    </row>
    <row r="435" spans="1:20" ht="17">
      <c r="A435" s="3" t="s">
        <v>583</v>
      </c>
      <c r="B435" s="240" t="s">
        <v>6</v>
      </c>
      <c r="C435" s="11" t="s">
        <v>4</v>
      </c>
      <c r="D435" s="11" t="s">
        <v>5</v>
      </c>
      <c r="E435" s="11">
        <v>3</v>
      </c>
      <c r="F435" s="280" t="s">
        <v>149</v>
      </c>
      <c r="G435" s="11" t="s">
        <v>10</v>
      </c>
      <c r="H435" s="313" t="s">
        <v>1945</v>
      </c>
      <c r="I435" s="355" t="s">
        <v>1499</v>
      </c>
      <c r="J435" s="354" t="s">
        <v>1946</v>
      </c>
      <c r="K435" s="355" t="s">
        <v>2018</v>
      </c>
      <c r="L435" s="354" t="s">
        <v>680</v>
      </c>
      <c r="M435" s="356" t="s">
        <v>292</v>
      </c>
      <c r="N435" s="54" t="s">
        <v>643</v>
      </c>
      <c r="O435" s="1" t="s">
        <v>581</v>
      </c>
      <c r="P435" s="358" t="s">
        <v>1947</v>
      </c>
      <c r="Q435" s="119" t="s">
        <v>2108</v>
      </c>
    </row>
    <row r="436" spans="1:20" ht="17">
      <c r="A436" s="3" t="s">
        <v>583</v>
      </c>
      <c r="B436" s="240" t="s">
        <v>6</v>
      </c>
      <c r="C436" s="11" t="s">
        <v>4</v>
      </c>
      <c r="D436" s="11" t="s">
        <v>5</v>
      </c>
      <c r="E436" s="11">
        <v>3</v>
      </c>
      <c r="F436" s="280" t="s">
        <v>150</v>
      </c>
      <c r="G436" s="11" t="s">
        <v>8</v>
      </c>
      <c r="H436" s="5" t="s">
        <v>512</v>
      </c>
      <c r="I436" s="66" t="s">
        <v>1302</v>
      </c>
      <c r="J436" s="5" t="s">
        <v>514</v>
      </c>
      <c r="K436" s="66" t="s">
        <v>515</v>
      </c>
      <c r="L436" s="5" t="s">
        <v>679</v>
      </c>
      <c r="M436" s="79" t="s">
        <v>308</v>
      </c>
      <c r="N436" s="54" t="s">
        <v>396</v>
      </c>
      <c r="O436" s="1" t="s">
        <v>582</v>
      </c>
      <c r="P436" s="12"/>
    </row>
    <row r="437" spans="1:20" ht="17">
      <c r="A437" s="3" t="s">
        <v>583</v>
      </c>
      <c r="B437" s="240" t="s">
        <v>6</v>
      </c>
      <c r="C437" s="11" t="s">
        <v>4</v>
      </c>
      <c r="D437" s="11" t="s">
        <v>5</v>
      </c>
      <c r="E437" s="11">
        <v>3</v>
      </c>
      <c r="F437" s="280" t="s">
        <v>150</v>
      </c>
      <c r="G437" s="11" t="s">
        <v>9</v>
      </c>
      <c r="H437" s="5" t="s">
        <v>509</v>
      </c>
      <c r="I437" s="66" t="s">
        <v>1313</v>
      </c>
      <c r="J437" s="5" t="s">
        <v>510</v>
      </c>
      <c r="K437" s="66" t="s">
        <v>511</v>
      </c>
      <c r="L437" s="5" t="s">
        <v>679</v>
      </c>
      <c r="M437" s="79" t="s">
        <v>308</v>
      </c>
      <c r="N437" s="54" t="s">
        <v>396</v>
      </c>
      <c r="O437" s="1" t="s">
        <v>582</v>
      </c>
      <c r="P437" s="230"/>
    </row>
    <row r="438" spans="1:20" ht="17">
      <c r="A438" s="3" t="s">
        <v>583</v>
      </c>
      <c r="B438" s="240" t="s">
        <v>6</v>
      </c>
      <c r="C438" s="11" t="s">
        <v>4</v>
      </c>
      <c r="D438" s="11" t="s">
        <v>5</v>
      </c>
      <c r="E438" s="11">
        <v>3</v>
      </c>
      <c r="F438" s="280" t="s">
        <v>150</v>
      </c>
      <c r="G438" s="11" t="s">
        <v>10</v>
      </c>
      <c r="H438" s="5" t="s">
        <v>516</v>
      </c>
      <c r="I438" s="66" t="s">
        <v>1308</v>
      </c>
      <c r="J438" s="5" t="s">
        <v>517</v>
      </c>
      <c r="K438" s="68" t="s">
        <v>518</v>
      </c>
      <c r="L438" s="5" t="s">
        <v>679</v>
      </c>
      <c r="M438" s="79" t="s">
        <v>308</v>
      </c>
      <c r="N438" s="54" t="s">
        <v>396</v>
      </c>
      <c r="O438" s="1" t="s">
        <v>582</v>
      </c>
      <c r="P438" s="12"/>
    </row>
    <row r="439" spans="1:20" ht="17">
      <c r="A439" s="3" t="s">
        <v>583</v>
      </c>
      <c r="B439" s="240" t="s">
        <v>6</v>
      </c>
      <c r="C439" s="11" t="s">
        <v>4</v>
      </c>
      <c r="D439" s="11" t="s">
        <v>5</v>
      </c>
      <c r="E439" s="11">
        <v>3</v>
      </c>
      <c r="F439" s="280" t="s">
        <v>151</v>
      </c>
      <c r="G439" s="11" t="s">
        <v>8</v>
      </c>
      <c r="H439" s="313" t="s">
        <v>1948</v>
      </c>
      <c r="I439" s="313" t="s">
        <v>1497</v>
      </c>
      <c r="J439" s="354" t="s">
        <v>1949</v>
      </c>
      <c r="K439" s="367" t="s">
        <v>2019</v>
      </c>
      <c r="L439" s="354" t="s">
        <v>680</v>
      </c>
      <c r="M439" s="356" t="s">
        <v>292</v>
      </c>
      <c r="N439" s="54" t="s">
        <v>643</v>
      </c>
      <c r="O439" s="1" t="s">
        <v>581</v>
      </c>
      <c r="P439" s="338" t="s">
        <v>1954</v>
      </c>
      <c r="Q439" s="119" t="s">
        <v>2104</v>
      </c>
    </row>
    <row r="440" spans="1:20" ht="17">
      <c r="A440" s="3" t="s">
        <v>583</v>
      </c>
      <c r="B440" s="240" t="s">
        <v>6</v>
      </c>
      <c r="C440" s="11" t="s">
        <v>4</v>
      </c>
      <c r="D440" s="11" t="s">
        <v>5</v>
      </c>
      <c r="E440" s="11">
        <v>3</v>
      </c>
      <c r="F440" s="280" t="s">
        <v>151</v>
      </c>
      <c r="G440" s="11" t="s">
        <v>9</v>
      </c>
      <c r="H440" s="313" t="s">
        <v>1950</v>
      </c>
      <c r="I440" s="313" t="s">
        <v>1497</v>
      </c>
      <c r="J440" s="354" t="s">
        <v>1951</v>
      </c>
      <c r="K440" s="367" t="s">
        <v>2020</v>
      </c>
      <c r="L440" s="354" t="s">
        <v>680</v>
      </c>
      <c r="M440" s="356" t="s">
        <v>292</v>
      </c>
      <c r="N440" s="54" t="s">
        <v>643</v>
      </c>
      <c r="O440" s="1" t="s">
        <v>581</v>
      </c>
      <c r="P440" s="338" t="s">
        <v>1955</v>
      </c>
      <c r="Q440" s="119" t="s">
        <v>2109</v>
      </c>
    </row>
    <row r="441" spans="1:20" ht="17">
      <c r="A441" s="3" t="s">
        <v>583</v>
      </c>
      <c r="B441" s="240" t="s">
        <v>6</v>
      </c>
      <c r="C441" s="11" t="s">
        <v>4</v>
      </c>
      <c r="D441" s="11" t="s">
        <v>5</v>
      </c>
      <c r="E441" s="11">
        <v>3</v>
      </c>
      <c r="F441" s="280" t="s">
        <v>151</v>
      </c>
      <c r="G441" s="11" t="s">
        <v>10</v>
      </c>
      <c r="H441" s="313" t="s">
        <v>1952</v>
      </c>
      <c r="I441" s="313" t="s">
        <v>1497</v>
      </c>
      <c r="J441" s="354" t="s">
        <v>1953</v>
      </c>
      <c r="K441" s="367" t="s">
        <v>2021</v>
      </c>
      <c r="L441" s="354" t="s">
        <v>680</v>
      </c>
      <c r="M441" s="356" t="s">
        <v>292</v>
      </c>
      <c r="N441" s="54" t="s">
        <v>643</v>
      </c>
      <c r="O441" s="1" t="s">
        <v>581</v>
      </c>
      <c r="P441" s="338" t="s">
        <v>1956</v>
      </c>
      <c r="Q441" s="119" t="s">
        <v>2108</v>
      </c>
    </row>
    <row r="442" spans="1:20" ht="17">
      <c r="A442" s="3" t="s">
        <v>583</v>
      </c>
      <c r="B442" s="240" t="s">
        <v>6</v>
      </c>
      <c r="C442" s="11" t="s">
        <v>4</v>
      </c>
      <c r="D442" s="11" t="s">
        <v>5</v>
      </c>
      <c r="E442" s="11">
        <v>3</v>
      </c>
      <c r="F442" s="280" t="s">
        <v>152</v>
      </c>
      <c r="G442" s="11" t="s">
        <v>8</v>
      </c>
      <c r="H442" s="5" t="s">
        <v>1314</v>
      </c>
      <c r="I442" s="133" t="s">
        <v>791</v>
      </c>
      <c r="J442" s="5" t="s">
        <v>1315</v>
      </c>
      <c r="K442" s="66" t="s">
        <v>1316</v>
      </c>
      <c r="L442" s="5" t="s">
        <v>679</v>
      </c>
      <c r="M442" s="79" t="s">
        <v>308</v>
      </c>
      <c r="N442" s="54" t="s">
        <v>396</v>
      </c>
      <c r="O442" s="1" t="s">
        <v>582</v>
      </c>
      <c r="P442" s="384" t="s">
        <v>1317</v>
      </c>
    </row>
    <row r="443" spans="1:20" ht="17">
      <c r="A443" s="3" t="s">
        <v>583</v>
      </c>
      <c r="B443" s="240" t="s">
        <v>6</v>
      </c>
      <c r="C443" s="11" t="s">
        <v>4</v>
      </c>
      <c r="D443" s="11" t="s">
        <v>5</v>
      </c>
      <c r="E443" s="11">
        <v>3</v>
      </c>
      <c r="F443" s="280" t="s">
        <v>152</v>
      </c>
      <c r="G443" s="11" t="s">
        <v>9</v>
      </c>
      <c r="H443" s="5" t="s">
        <v>1318</v>
      </c>
      <c r="I443" s="133" t="s">
        <v>1005</v>
      </c>
      <c r="J443" s="5" t="s">
        <v>1319</v>
      </c>
      <c r="K443" s="66" t="s">
        <v>1320</v>
      </c>
      <c r="L443" s="5" t="s">
        <v>679</v>
      </c>
      <c r="M443" s="79" t="s">
        <v>308</v>
      </c>
      <c r="N443" s="54" t="s">
        <v>396</v>
      </c>
      <c r="O443" s="1" t="s">
        <v>582</v>
      </c>
      <c r="P443" s="384" t="s">
        <v>1321</v>
      </c>
    </row>
    <row r="444" spans="1:20" ht="17">
      <c r="A444" s="3" t="s">
        <v>583</v>
      </c>
      <c r="B444" s="240" t="s">
        <v>6</v>
      </c>
      <c r="C444" s="11" t="s">
        <v>4</v>
      </c>
      <c r="D444" s="11" t="s">
        <v>5</v>
      </c>
      <c r="E444" s="11">
        <v>3</v>
      </c>
      <c r="F444" s="280" t="s">
        <v>152</v>
      </c>
      <c r="G444" s="11" t="s">
        <v>10</v>
      </c>
      <c r="H444" s="5" t="s">
        <v>522</v>
      </c>
      <c r="I444" s="66" t="s">
        <v>363</v>
      </c>
      <c r="J444" s="5" t="s">
        <v>523</v>
      </c>
      <c r="K444" s="68" t="s">
        <v>524</v>
      </c>
      <c r="L444" s="5" t="s">
        <v>679</v>
      </c>
      <c r="M444" s="53" t="s">
        <v>308</v>
      </c>
      <c r="N444" s="54" t="s">
        <v>396</v>
      </c>
      <c r="O444" s="1" t="s">
        <v>582</v>
      </c>
      <c r="P444" s="20"/>
    </row>
    <row r="445" spans="1:20" ht="17">
      <c r="A445" s="3" t="s">
        <v>583</v>
      </c>
      <c r="B445" s="240" t="s">
        <v>6</v>
      </c>
      <c r="C445" s="11" t="s">
        <v>4</v>
      </c>
      <c r="D445" s="11" t="s">
        <v>5</v>
      </c>
      <c r="E445" s="11">
        <v>3</v>
      </c>
      <c r="F445" s="280" t="s">
        <v>153</v>
      </c>
      <c r="G445" s="11" t="s">
        <v>8</v>
      </c>
      <c r="H445" s="313" t="s">
        <v>1957</v>
      </c>
      <c r="I445" s="355" t="s">
        <v>658</v>
      </c>
      <c r="J445" s="354" t="s">
        <v>1958</v>
      </c>
      <c r="K445" s="367" t="s">
        <v>2022</v>
      </c>
      <c r="L445" s="354" t="s">
        <v>680</v>
      </c>
      <c r="M445" s="356" t="s">
        <v>292</v>
      </c>
      <c r="N445" s="54" t="s">
        <v>643</v>
      </c>
      <c r="O445" s="1" t="s">
        <v>581</v>
      </c>
      <c r="P445" s="358" t="s">
        <v>1982</v>
      </c>
      <c r="Q445" s="119" t="s">
        <v>2110</v>
      </c>
    </row>
    <row r="446" spans="1:20" ht="17">
      <c r="A446" s="3" t="s">
        <v>583</v>
      </c>
      <c r="B446" s="240" t="s">
        <v>6</v>
      </c>
      <c r="C446" s="11" t="s">
        <v>4</v>
      </c>
      <c r="D446" s="11" t="s">
        <v>5</v>
      </c>
      <c r="E446" s="11">
        <v>3</v>
      </c>
      <c r="F446" s="280" t="s">
        <v>153</v>
      </c>
      <c r="G446" s="11" t="s">
        <v>9</v>
      </c>
      <c r="H446" s="313" t="s">
        <v>1959</v>
      </c>
      <c r="I446" s="355" t="s">
        <v>1497</v>
      </c>
      <c r="J446" s="354" t="s">
        <v>1960</v>
      </c>
      <c r="K446" s="367" t="s">
        <v>2023</v>
      </c>
      <c r="L446" s="354" t="s">
        <v>680</v>
      </c>
      <c r="M446" s="356" t="s">
        <v>292</v>
      </c>
      <c r="N446" s="54" t="s">
        <v>643</v>
      </c>
      <c r="O446" s="1" t="s">
        <v>581</v>
      </c>
      <c r="P446" s="358" t="s">
        <v>1983</v>
      </c>
      <c r="Q446" s="119" t="s">
        <v>2111</v>
      </c>
    </row>
    <row r="447" spans="1:20" ht="17">
      <c r="A447" s="3" t="s">
        <v>583</v>
      </c>
      <c r="B447" s="240" t="s">
        <v>6</v>
      </c>
      <c r="C447" s="11" t="s">
        <v>4</v>
      </c>
      <c r="D447" s="11" t="s">
        <v>5</v>
      </c>
      <c r="E447" s="11">
        <v>3</v>
      </c>
      <c r="F447" s="280" t="s">
        <v>153</v>
      </c>
      <c r="G447" s="11" t="s">
        <v>10</v>
      </c>
      <c r="H447" s="357" t="s">
        <v>1961</v>
      </c>
      <c r="I447" s="360" t="s">
        <v>1499</v>
      </c>
      <c r="J447" s="354" t="s">
        <v>2081</v>
      </c>
      <c r="K447" s="367" t="s">
        <v>2024</v>
      </c>
      <c r="L447" s="354" t="s">
        <v>680</v>
      </c>
      <c r="M447" s="356" t="s">
        <v>292</v>
      </c>
      <c r="N447" s="54" t="s">
        <v>643</v>
      </c>
      <c r="O447" s="1" t="s">
        <v>581</v>
      </c>
      <c r="P447" s="359" t="s">
        <v>1962</v>
      </c>
      <c r="Q447" s="119" t="s">
        <v>2112</v>
      </c>
      <c r="R447" s="85"/>
      <c r="S447" s="86"/>
      <c r="T447" s="85"/>
    </row>
    <row r="448" spans="1:20" ht="17">
      <c r="A448" s="3" t="s">
        <v>583</v>
      </c>
      <c r="B448" s="240" t="s">
        <v>6</v>
      </c>
      <c r="C448" s="11" t="s">
        <v>4</v>
      </c>
      <c r="D448" s="11" t="s">
        <v>5</v>
      </c>
      <c r="E448" s="11">
        <v>3</v>
      </c>
      <c r="F448" s="280" t="s">
        <v>154</v>
      </c>
      <c r="G448" s="11" t="s">
        <v>8</v>
      </c>
      <c r="H448" s="199" t="s">
        <v>650</v>
      </c>
      <c r="I448" s="208" t="s">
        <v>1499</v>
      </c>
      <c r="J448" s="200" t="s">
        <v>651</v>
      </c>
      <c r="K448" s="208" t="s">
        <v>670</v>
      </c>
      <c r="L448" s="199" t="s">
        <v>680</v>
      </c>
      <c r="M448" s="206" t="s">
        <v>292</v>
      </c>
      <c r="N448" s="54" t="s">
        <v>643</v>
      </c>
      <c r="O448" s="1" t="s">
        <v>581</v>
      </c>
      <c r="P448" s="318" t="s">
        <v>2100</v>
      </c>
    </row>
    <row r="449" spans="1:22" ht="19.5" customHeight="1">
      <c r="A449" s="3" t="s">
        <v>583</v>
      </c>
      <c r="B449" s="240" t="s">
        <v>6</v>
      </c>
      <c r="C449" s="11" t="s">
        <v>4</v>
      </c>
      <c r="D449" s="11" t="s">
        <v>5</v>
      </c>
      <c r="E449" s="11">
        <v>3</v>
      </c>
      <c r="F449" s="280" t="s">
        <v>154</v>
      </c>
      <c r="G449" s="11" t="s">
        <v>9</v>
      </c>
      <c r="H449" s="199" t="s">
        <v>641</v>
      </c>
      <c r="I449" s="208" t="s">
        <v>1497</v>
      </c>
      <c r="J449" s="200" t="s">
        <v>642</v>
      </c>
      <c r="K449" s="200" t="s">
        <v>1794</v>
      </c>
      <c r="L449" s="199" t="s">
        <v>680</v>
      </c>
      <c r="M449" s="199" t="s">
        <v>292</v>
      </c>
      <c r="N449" s="54" t="s">
        <v>643</v>
      </c>
      <c r="O449" s="1" t="s">
        <v>581</v>
      </c>
      <c r="P449" s="318" t="s">
        <v>2096</v>
      </c>
    </row>
    <row r="450" spans="1:22" ht="17">
      <c r="A450" s="3" t="s">
        <v>583</v>
      </c>
      <c r="B450" s="240" t="s">
        <v>6</v>
      </c>
      <c r="C450" s="11" t="s">
        <v>4</v>
      </c>
      <c r="D450" s="11" t="s">
        <v>5</v>
      </c>
      <c r="E450" s="11">
        <v>3</v>
      </c>
      <c r="F450" s="280" t="s">
        <v>154</v>
      </c>
      <c r="G450" s="11" t="s">
        <v>10</v>
      </c>
      <c r="H450" s="199" t="s">
        <v>656</v>
      </c>
      <c r="I450" s="208" t="s">
        <v>1497</v>
      </c>
      <c r="J450" s="200" t="s">
        <v>657</v>
      </c>
      <c r="K450" s="208" t="s">
        <v>688</v>
      </c>
      <c r="L450" s="199" t="s">
        <v>680</v>
      </c>
      <c r="M450" s="206" t="s">
        <v>292</v>
      </c>
      <c r="N450" s="54" t="s">
        <v>643</v>
      </c>
      <c r="O450" s="1" t="s">
        <v>581</v>
      </c>
      <c r="P450" s="318" t="s">
        <v>2100</v>
      </c>
    </row>
    <row r="451" spans="1:22" ht="17">
      <c r="A451" s="3" t="s">
        <v>583</v>
      </c>
      <c r="B451" s="240" t="s">
        <v>6</v>
      </c>
      <c r="C451" s="11" t="s">
        <v>4</v>
      </c>
      <c r="D451" s="11" t="s">
        <v>5</v>
      </c>
      <c r="E451" s="11">
        <v>3</v>
      </c>
      <c r="F451" s="280" t="s">
        <v>155</v>
      </c>
      <c r="G451" s="11" t="s">
        <v>8</v>
      </c>
      <c r="H451" s="5" t="s">
        <v>525</v>
      </c>
      <c r="I451" s="66" t="s">
        <v>466</v>
      </c>
      <c r="J451" s="5" t="s">
        <v>526</v>
      </c>
      <c r="K451" s="66" t="s">
        <v>527</v>
      </c>
      <c r="L451" s="5" t="s">
        <v>679</v>
      </c>
      <c r="M451" s="53" t="s">
        <v>308</v>
      </c>
      <c r="N451" s="54" t="s">
        <v>396</v>
      </c>
      <c r="O451" s="1" t="s">
        <v>582</v>
      </c>
      <c r="P451" s="92"/>
    </row>
    <row r="452" spans="1:22" ht="17">
      <c r="A452" s="3" t="s">
        <v>583</v>
      </c>
      <c r="B452" s="240" t="s">
        <v>6</v>
      </c>
      <c r="C452" s="11" t="s">
        <v>4</v>
      </c>
      <c r="D452" s="11" t="s">
        <v>5</v>
      </c>
      <c r="E452" s="11">
        <v>3</v>
      </c>
      <c r="F452" s="280" t="s">
        <v>155</v>
      </c>
      <c r="G452" s="11" t="s">
        <v>9</v>
      </c>
      <c r="H452" s="5" t="s">
        <v>528</v>
      </c>
      <c r="I452" s="66" t="s">
        <v>1322</v>
      </c>
      <c r="J452" s="5" t="s">
        <v>529</v>
      </c>
      <c r="K452" s="66" t="s">
        <v>530</v>
      </c>
      <c r="L452" s="5" t="s">
        <v>679</v>
      </c>
      <c r="M452" s="53" t="s">
        <v>308</v>
      </c>
      <c r="N452" s="54" t="s">
        <v>396</v>
      </c>
      <c r="O452" s="1" t="s">
        <v>582</v>
      </c>
      <c r="P452" s="12"/>
    </row>
    <row r="453" spans="1:22" ht="17">
      <c r="A453" s="3" t="s">
        <v>583</v>
      </c>
      <c r="B453" s="240" t="s">
        <v>6</v>
      </c>
      <c r="C453" s="11" t="s">
        <v>4</v>
      </c>
      <c r="D453" s="11" t="s">
        <v>5</v>
      </c>
      <c r="E453" s="11">
        <v>3</v>
      </c>
      <c r="F453" s="280" t="s">
        <v>155</v>
      </c>
      <c r="G453" s="11" t="s">
        <v>10</v>
      </c>
      <c r="H453" s="5" t="s">
        <v>566</v>
      </c>
      <c r="I453" s="66" t="s">
        <v>559</v>
      </c>
      <c r="J453" s="5" t="s">
        <v>370</v>
      </c>
      <c r="K453" s="66" t="s">
        <v>371</v>
      </c>
      <c r="L453" s="5" t="s">
        <v>679</v>
      </c>
      <c r="M453" s="53" t="s">
        <v>308</v>
      </c>
      <c r="N453" s="54" t="s">
        <v>396</v>
      </c>
      <c r="O453" s="1" t="s">
        <v>582</v>
      </c>
      <c r="P453" s="12"/>
    </row>
    <row r="454" spans="1:22" ht="17">
      <c r="A454" s="3" t="s">
        <v>583</v>
      </c>
      <c r="B454" s="240" t="s">
        <v>6</v>
      </c>
      <c r="C454" s="11" t="s">
        <v>4</v>
      </c>
      <c r="D454" s="11" t="s">
        <v>5</v>
      </c>
      <c r="E454" s="11">
        <v>3</v>
      </c>
      <c r="F454" s="280" t="s">
        <v>156</v>
      </c>
      <c r="G454" s="11" t="s">
        <v>8</v>
      </c>
      <c r="H454" s="5" t="s">
        <v>1323</v>
      </c>
      <c r="I454" s="133" t="s">
        <v>899</v>
      </c>
      <c r="J454" s="5" t="s">
        <v>1324</v>
      </c>
      <c r="K454" s="66" t="s">
        <v>1325</v>
      </c>
      <c r="L454" s="66" t="s">
        <v>1325</v>
      </c>
      <c r="M454" s="79" t="s">
        <v>308</v>
      </c>
      <c r="N454" s="54" t="s">
        <v>396</v>
      </c>
      <c r="O454" s="1" t="s">
        <v>582</v>
      </c>
      <c r="P454" s="230"/>
    </row>
    <row r="455" spans="1:22" ht="17">
      <c r="A455" s="3" t="s">
        <v>583</v>
      </c>
      <c r="B455" s="240" t="s">
        <v>6</v>
      </c>
      <c r="C455" s="11" t="s">
        <v>4</v>
      </c>
      <c r="D455" s="11" t="s">
        <v>5</v>
      </c>
      <c r="E455" s="11">
        <v>3</v>
      </c>
      <c r="F455" s="280" t="s">
        <v>156</v>
      </c>
      <c r="G455" s="11" t="s">
        <v>9</v>
      </c>
      <c r="H455" s="6">
        <v>11213171</v>
      </c>
      <c r="I455" s="73" t="s">
        <v>1326</v>
      </c>
      <c r="J455" s="6" t="s">
        <v>1795</v>
      </c>
      <c r="K455" s="66" t="s">
        <v>1796</v>
      </c>
      <c r="L455" s="5" t="s">
        <v>679</v>
      </c>
      <c r="M455" s="79" t="s">
        <v>308</v>
      </c>
      <c r="N455" s="54" t="s">
        <v>396</v>
      </c>
      <c r="O455" s="1" t="s">
        <v>582</v>
      </c>
      <c r="P455" s="12"/>
      <c r="R455" s="85"/>
      <c r="S455" s="86"/>
      <c r="T455" s="85"/>
      <c r="U455" s="136"/>
      <c r="V455" s="85"/>
    </row>
    <row r="456" spans="1:22" ht="17">
      <c r="A456" s="3" t="s">
        <v>583</v>
      </c>
      <c r="B456" s="240" t="s">
        <v>6</v>
      </c>
      <c r="C456" s="11" t="s">
        <v>4</v>
      </c>
      <c r="D456" s="11" t="s">
        <v>5</v>
      </c>
      <c r="E456" s="11">
        <v>3</v>
      </c>
      <c r="F456" s="280" t="s">
        <v>156</v>
      </c>
      <c r="G456" s="11" t="s">
        <v>10</v>
      </c>
      <c r="H456" s="6">
        <v>11210096</v>
      </c>
      <c r="I456" s="73" t="s">
        <v>494</v>
      </c>
      <c r="J456" s="6" t="s">
        <v>531</v>
      </c>
      <c r="K456" s="66" t="s">
        <v>532</v>
      </c>
      <c r="L456" s="5" t="s">
        <v>679</v>
      </c>
      <c r="M456" s="53" t="s">
        <v>308</v>
      </c>
      <c r="N456" s="54" t="s">
        <v>396</v>
      </c>
      <c r="O456" s="1" t="s">
        <v>582</v>
      </c>
      <c r="P456" s="12"/>
    </row>
    <row r="457" spans="1:22" ht="17">
      <c r="A457" s="3" t="s">
        <v>583</v>
      </c>
      <c r="B457" s="240" t="s">
        <v>6</v>
      </c>
      <c r="C457" s="11" t="s">
        <v>4</v>
      </c>
      <c r="D457" s="11" t="s">
        <v>5</v>
      </c>
      <c r="E457" s="11">
        <v>3</v>
      </c>
      <c r="F457" s="280" t="s">
        <v>157</v>
      </c>
      <c r="G457" s="11" t="s">
        <v>8</v>
      </c>
      <c r="H457" s="313" t="s">
        <v>1970</v>
      </c>
      <c r="I457" s="355" t="s">
        <v>1499</v>
      </c>
      <c r="J457" s="354" t="s">
        <v>1971</v>
      </c>
      <c r="K457" s="367" t="s">
        <v>2027</v>
      </c>
      <c r="L457" s="354" t="s">
        <v>680</v>
      </c>
      <c r="M457" s="356" t="s">
        <v>292</v>
      </c>
      <c r="N457" s="54" t="s">
        <v>643</v>
      </c>
      <c r="O457" s="1" t="s">
        <v>581</v>
      </c>
      <c r="P457" s="6" t="s">
        <v>1966</v>
      </c>
      <c r="Q457" s="119" t="s">
        <v>2113</v>
      </c>
    </row>
    <row r="458" spans="1:22" ht="17">
      <c r="A458" s="3" t="s">
        <v>583</v>
      </c>
      <c r="B458" s="240" t="s">
        <v>6</v>
      </c>
      <c r="C458" s="11" t="s">
        <v>4</v>
      </c>
      <c r="D458" s="11" t="s">
        <v>5</v>
      </c>
      <c r="E458" s="11">
        <v>3</v>
      </c>
      <c r="F458" s="280" t="s">
        <v>157</v>
      </c>
      <c r="G458" s="11" t="s">
        <v>9</v>
      </c>
      <c r="H458" s="313" t="s">
        <v>1967</v>
      </c>
      <c r="I458" s="355" t="s">
        <v>1499</v>
      </c>
      <c r="J458" s="354" t="s">
        <v>1968</v>
      </c>
      <c r="K458" s="367" t="s">
        <v>2026</v>
      </c>
      <c r="L458" s="354" t="s">
        <v>680</v>
      </c>
      <c r="M458" s="356" t="s">
        <v>292</v>
      </c>
      <c r="N458" s="54" t="s">
        <v>643</v>
      </c>
      <c r="O458" s="1" t="s">
        <v>581</v>
      </c>
      <c r="P458" s="359" t="s">
        <v>1969</v>
      </c>
      <c r="Q458" s="119" t="s">
        <v>2105</v>
      </c>
    </row>
    <row r="459" spans="1:22" ht="17">
      <c r="A459" s="3" t="s">
        <v>583</v>
      </c>
      <c r="B459" s="240" t="s">
        <v>6</v>
      </c>
      <c r="C459" s="11" t="s">
        <v>4</v>
      </c>
      <c r="D459" s="11" t="s">
        <v>5</v>
      </c>
      <c r="E459" s="11">
        <v>3</v>
      </c>
      <c r="F459" s="280" t="s">
        <v>157</v>
      </c>
      <c r="G459" s="11" t="s">
        <v>10</v>
      </c>
      <c r="H459" s="313" t="s">
        <v>1963</v>
      </c>
      <c r="I459" s="355" t="s">
        <v>1965</v>
      </c>
      <c r="J459" s="354" t="s">
        <v>1964</v>
      </c>
      <c r="K459" s="355" t="s">
        <v>2025</v>
      </c>
      <c r="L459" s="354" t="s">
        <v>680</v>
      </c>
      <c r="M459" s="356" t="s">
        <v>292</v>
      </c>
      <c r="N459" s="54" t="s">
        <v>643</v>
      </c>
      <c r="O459" s="1" t="s">
        <v>581</v>
      </c>
      <c r="P459" s="358" t="s">
        <v>1972</v>
      </c>
      <c r="Q459" s="119" t="s">
        <v>2105</v>
      </c>
    </row>
    <row r="460" spans="1:22" ht="17">
      <c r="A460" s="3" t="s">
        <v>583</v>
      </c>
      <c r="B460" s="240" t="s">
        <v>6</v>
      </c>
      <c r="C460" s="11" t="s">
        <v>4</v>
      </c>
      <c r="D460" s="11" t="s">
        <v>5</v>
      </c>
      <c r="E460" s="11">
        <v>3</v>
      </c>
      <c r="F460" s="280" t="s">
        <v>158</v>
      </c>
      <c r="G460" s="11" t="s">
        <v>8</v>
      </c>
      <c r="H460" s="199" t="s">
        <v>652</v>
      </c>
      <c r="I460" s="208" t="s">
        <v>1499</v>
      </c>
      <c r="J460" s="200" t="s">
        <v>653</v>
      </c>
      <c r="K460" s="208" t="s">
        <v>669</v>
      </c>
      <c r="L460" s="199" t="s">
        <v>680</v>
      </c>
      <c r="M460" s="206" t="s">
        <v>292</v>
      </c>
      <c r="N460" s="54" t="s">
        <v>643</v>
      </c>
      <c r="O460" s="1" t="s">
        <v>581</v>
      </c>
      <c r="P460" s="12" t="s">
        <v>2099</v>
      </c>
    </row>
    <row r="461" spans="1:22" ht="17">
      <c r="A461" s="3" t="s">
        <v>583</v>
      </c>
      <c r="B461" s="240" t="s">
        <v>6</v>
      </c>
      <c r="C461" s="11" t="s">
        <v>4</v>
      </c>
      <c r="D461" s="11" t="s">
        <v>5</v>
      </c>
      <c r="E461" s="11">
        <v>3</v>
      </c>
      <c r="F461" s="280" t="s">
        <v>158</v>
      </c>
      <c r="G461" s="11" t="s">
        <v>9</v>
      </c>
      <c r="H461" s="199" t="s">
        <v>654</v>
      </c>
      <c r="I461" s="208" t="s">
        <v>1497</v>
      </c>
      <c r="J461" s="200" t="s">
        <v>655</v>
      </c>
      <c r="K461" s="208" t="s">
        <v>1797</v>
      </c>
      <c r="L461" s="199" t="s">
        <v>680</v>
      </c>
      <c r="M461" s="206" t="s">
        <v>292</v>
      </c>
      <c r="N461" s="54" t="s">
        <v>643</v>
      </c>
      <c r="O461" s="1" t="s">
        <v>581</v>
      </c>
      <c r="P461" s="12" t="s">
        <v>2103</v>
      </c>
    </row>
    <row r="462" spans="1:22" ht="17">
      <c r="A462" s="3" t="s">
        <v>583</v>
      </c>
      <c r="B462" s="240" t="s">
        <v>6</v>
      </c>
      <c r="C462" s="11" t="s">
        <v>4</v>
      </c>
      <c r="D462" s="11" t="s">
        <v>5</v>
      </c>
      <c r="E462" s="11">
        <v>3</v>
      </c>
      <c r="F462" s="280" t="s">
        <v>158</v>
      </c>
      <c r="G462" s="11" t="s">
        <v>10</v>
      </c>
      <c r="H462" s="199" t="s">
        <v>648</v>
      </c>
      <c r="I462" s="208" t="s">
        <v>1497</v>
      </c>
      <c r="J462" s="200" t="s">
        <v>649</v>
      </c>
      <c r="K462" s="208" t="s">
        <v>1798</v>
      </c>
      <c r="L462" s="199" t="s">
        <v>680</v>
      </c>
      <c r="M462" s="206" t="s">
        <v>292</v>
      </c>
      <c r="N462" s="54" t="s">
        <v>643</v>
      </c>
      <c r="O462" s="1" t="s">
        <v>581</v>
      </c>
      <c r="P462" s="12" t="s">
        <v>2096</v>
      </c>
    </row>
    <row r="463" spans="1:22" ht="17">
      <c r="A463" s="3" t="s">
        <v>583</v>
      </c>
      <c r="B463" s="240" t="s">
        <v>6</v>
      </c>
      <c r="C463" s="11" t="s">
        <v>4</v>
      </c>
      <c r="D463" s="11" t="s">
        <v>5</v>
      </c>
      <c r="E463" s="11">
        <v>3</v>
      </c>
      <c r="F463" s="280" t="s">
        <v>159</v>
      </c>
      <c r="G463" s="11" t="s">
        <v>8</v>
      </c>
      <c r="H463" s="313" t="s">
        <v>1973</v>
      </c>
      <c r="I463" s="355" t="s">
        <v>1497</v>
      </c>
      <c r="J463" s="354" t="s">
        <v>1974</v>
      </c>
      <c r="K463" s="367" t="s">
        <v>2028</v>
      </c>
      <c r="L463" s="354" t="s">
        <v>680</v>
      </c>
      <c r="M463" s="356" t="s">
        <v>292</v>
      </c>
      <c r="N463" s="54" t="s">
        <v>643</v>
      </c>
      <c r="O463" s="1" t="s">
        <v>581</v>
      </c>
      <c r="P463" s="338" t="s">
        <v>1979</v>
      </c>
      <c r="Q463" s="119" t="s">
        <v>2114</v>
      </c>
    </row>
    <row r="464" spans="1:22" ht="17">
      <c r="A464" s="3" t="s">
        <v>583</v>
      </c>
      <c r="B464" s="240" t="s">
        <v>6</v>
      </c>
      <c r="C464" s="11" t="s">
        <v>4</v>
      </c>
      <c r="D464" s="11" t="s">
        <v>5</v>
      </c>
      <c r="E464" s="11">
        <v>3</v>
      </c>
      <c r="F464" s="280" t="s">
        <v>159</v>
      </c>
      <c r="G464" s="11" t="s">
        <v>9</v>
      </c>
      <c r="H464" s="313" t="s">
        <v>1975</v>
      </c>
      <c r="I464" s="355" t="s">
        <v>1497</v>
      </c>
      <c r="J464" s="354" t="s">
        <v>1976</v>
      </c>
      <c r="K464" s="367" t="s">
        <v>2029</v>
      </c>
      <c r="L464" s="354" t="s">
        <v>680</v>
      </c>
      <c r="M464" s="356" t="s">
        <v>292</v>
      </c>
      <c r="N464" s="54" t="s">
        <v>643</v>
      </c>
      <c r="O464" s="1" t="s">
        <v>581</v>
      </c>
      <c r="P464" s="338" t="s">
        <v>1980</v>
      </c>
      <c r="Q464" s="119" t="s">
        <v>2106</v>
      </c>
    </row>
    <row r="465" spans="1:17" ht="17">
      <c r="A465" s="3" t="s">
        <v>583</v>
      </c>
      <c r="B465" s="240" t="s">
        <v>6</v>
      </c>
      <c r="C465" s="11" t="s">
        <v>4</v>
      </c>
      <c r="D465" s="11" t="s">
        <v>5</v>
      </c>
      <c r="E465" s="11">
        <v>3</v>
      </c>
      <c r="F465" s="280" t="s">
        <v>159</v>
      </c>
      <c r="G465" s="11" t="s">
        <v>10</v>
      </c>
      <c r="H465" s="313" t="s">
        <v>1977</v>
      </c>
      <c r="I465" s="355" t="s">
        <v>1497</v>
      </c>
      <c r="J465" s="354" t="s">
        <v>1978</v>
      </c>
      <c r="K465" s="367" t="s">
        <v>2030</v>
      </c>
      <c r="L465" s="354" t="s">
        <v>680</v>
      </c>
      <c r="M465" s="356" t="s">
        <v>292</v>
      </c>
      <c r="N465" s="54" t="s">
        <v>643</v>
      </c>
      <c r="O465" s="1" t="s">
        <v>581</v>
      </c>
      <c r="P465" s="359" t="s">
        <v>1981</v>
      </c>
      <c r="Q465" s="119" t="s">
        <v>2113</v>
      </c>
    </row>
    <row r="466" spans="1:17" ht="17">
      <c r="A466" s="3" t="s">
        <v>583</v>
      </c>
      <c r="B466" s="240" t="s">
        <v>6</v>
      </c>
      <c r="C466" s="11" t="s">
        <v>4</v>
      </c>
      <c r="D466" s="11" t="s">
        <v>5</v>
      </c>
      <c r="E466" s="11">
        <v>3</v>
      </c>
      <c r="F466" s="280" t="s">
        <v>160</v>
      </c>
      <c r="G466" s="11" t="s">
        <v>8</v>
      </c>
      <c r="H466" s="5" t="s">
        <v>1799</v>
      </c>
      <c r="I466" s="66" t="s">
        <v>1800</v>
      </c>
      <c r="J466" s="5" t="s">
        <v>1801</v>
      </c>
      <c r="K466" s="68" t="s">
        <v>1802</v>
      </c>
      <c r="L466" s="5" t="s">
        <v>679</v>
      </c>
      <c r="M466" s="53" t="s">
        <v>308</v>
      </c>
      <c r="N466" s="54" t="s">
        <v>396</v>
      </c>
      <c r="O466" s="1" t="s">
        <v>582</v>
      </c>
      <c r="P466" s="92"/>
    </row>
    <row r="467" spans="1:17" ht="17">
      <c r="A467" s="3" t="s">
        <v>583</v>
      </c>
      <c r="B467" s="240" t="s">
        <v>6</v>
      </c>
      <c r="C467" s="11" t="s">
        <v>4</v>
      </c>
      <c r="D467" s="11" t="s">
        <v>5</v>
      </c>
      <c r="E467" s="11">
        <v>3</v>
      </c>
      <c r="F467" s="280" t="s">
        <v>160</v>
      </c>
      <c r="G467" s="11" t="s">
        <v>9</v>
      </c>
      <c r="H467" s="5" t="s">
        <v>1328</v>
      </c>
      <c r="I467" s="66" t="s">
        <v>267</v>
      </c>
      <c r="J467" s="5" t="s">
        <v>1329</v>
      </c>
      <c r="K467" s="68" t="s">
        <v>1330</v>
      </c>
      <c r="L467" s="5" t="s">
        <v>679</v>
      </c>
      <c r="M467" s="53" t="s">
        <v>308</v>
      </c>
      <c r="N467" s="54" t="s">
        <v>396</v>
      </c>
      <c r="O467" s="1" t="s">
        <v>582</v>
      </c>
      <c r="P467" s="382" t="s">
        <v>1331</v>
      </c>
    </row>
    <row r="468" spans="1:17" ht="17">
      <c r="A468" s="3" t="s">
        <v>583</v>
      </c>
      <c r="B468" s="240" t="s">
        <v>6</v>
      </c>
      <c r="C468" s="11" t="s">
        <v>4</v>
      </c>
      <c r="D468" s="11" t="s">
        <v>5</v>
      </c>
      <c r="E468" s="11">
        <v>3</v>
      </c>
      <c r="F468" s="280" t="s">
        <v>160</v>
      </c>
      <c r="G468" s="11" t="s">
        <v>10</v>
      </c>
      <c r="H468" s="5" t="s">
        <v>1332</v>
      </c>
      <c r="I468" s="66" t="s">
        <v>263</v>
      </c>
      <c r="J468" s="5" t="s">
        <v>1333</v>
      </c>
      <c r="K468" s="68" t="s">
        <v>1334</v>
      </c>
      <c r="L468" s="5" t="s">
        <v>679</v>
      </c>
      <c r="M468" s="53" t="s">
        <v>308</v>
      </c>
      <c r="N468" s="54" t="s">
        <v>396</v>
      </c>
      <c r="O468" s="1" t="s">
        <v>582</v>
      </c>
      <c r="P468" s="382" t="s">
        <v>1335</v>
      </c>
    </row>
    <row r="469" spans="1:17" ht="17">
      <c r="A469" s="3" t="s">
        <v>583</v>
      </c>
      <c r="B469" s="240" t="s">
        <v>6</v>
      </c>
      <c r="C469" s="11" t="s">
        <v>4</v>
      </c>
      <c r="D469" s="11" t="s">
        <v>5</v>
      </c>
      <c r="E469" s="11">
        <v>3</v>
      </c>
      <c r="F469" s="280" t="s">
        <v>161</v>
      </c>
      <c r="G469" s="11" t="s">
        <v>8</v>
      </c>
      <c r="H469" s="5" t="s">
        <v>1336</v>
      </c>
      <c r="I469" s="66" t="s">
        <v>263</v>
      </c>
      <c r="J469" s="5" t="s">
        <v>1337</v>
      </c>
      <c r="K469" s="68" t="s">
        <v>1338</v>
      </c>
      <c r="L469" s="5" t="s">
        <v>679</v>
      </c>
      <c r="M469" s="53" t="s">
        <v>308</v>
      </c>
      <c r="N469" s="54" t="s">
        <v>396</v>
      </c>
      <c r="O469" s="1" t="s">
        <v>582</v>
      </c>
      <c r="P469" s="386" t="s">
        <v>1339</v>
      </c>
    </row>
    <row r="470" spans="1:17" ht="17">
      <c r="A470" s="3" t="s">
        <v>583</v>
      </c>
      <c r="B470" s="240" t="s">
        <v>6</v>
      </c>
      <c r="C470" s="11" t="s">
        <v>4</v>
      </c>
      <c r="D470" s="11" t="s">
        <v>5</v>
      </c>
      <c r="E470" s="11">
        <v>3</v>
      </c>
      <c r="F470" s="280" t="s">
        <v>161</v>
      </c>
      <c r="G470" s="11" t="s">
        <v>9</v>
      </c>
      <c r="H470" s="116">
        <v>12190035</v>
      </c>
      <c r="I470" s="73" t="s">
        <v>1678</v>
      </c>
      <c r="J470" s="6" t="s">
        <v>535</v>
      </c>
      <c r="K470" s="66" t="s">
        <v>1803</v>
      </c>
      <c r="L470" s="5" t="s">
        <v>679</v>
      </c>
      <c r="M470" s="53" t="s">
        <v>308</v>
      </c>
      <c r="N470" s="54" t="s">
        <v>396</v>
      </c>
      <c r="O470" s="1" t="s">
        <v>582</v>
      </c>
      <c r="P470" s="385"/>
    </row>
    <row r="471" spans="1:17" ht="17">
      <c r="A471" s="3" t="s">
        <v>583</v>
      </c>
      <c r="B471" s="240" t="s">
        <v>6</v>
      </c>
      <c r="C471" s="11" t="s">
        <v>4</v>
      </c>
      <c r="D471" s="11" t="s">
        <v>5</v>
      </c>
      <c r="E471" s="11">
        <v>3</v>
      </c>
      <c r="F471" s="280" t="s">
        <v>161</v>
      </c>
      <c r="G471" s="11" t="s">
        <v>10</v>
      </c>
      <c r="H471" s="5" t="s">
        <v>1340</v>
      </c>
      <c r="I471" s="66" t="s">
        <v>1072</v>
      </c>
      <c r="J471" s="5" t="s">
        <v>1341</v>
      </c>
      <c r="K471" s="68" t="s">
        <v>1342</v>
      </c>
      <c r="L471" s="5" t="s">
        <v>679</v>
      </c>
      <c r="M471" s="53" t="s">
        <v>308</v>
      </c>
      <c r="N471" s="54" t="s">
        <v>396</v>
      </c>
      <c r="O471" s="1" t="s">
        <v>582</v>
      </c>
      <c r="P471" s="386" t="s">
        <v>1343</v>
      </c>
    </row>
    <row r="472" spans="1:17" ht="17">
      <c r="A472" s="3" t="s">
        <v>583</v>
      </c>
      <c r="B472" s="240" t="s">
        <v>6</v>
      </c>
      <c r="C472" s="11" t="s">
        <v>4</v>
      </c>
      <c r="D472" s="11" t="s">
        <v>5</v>
      </c>
      <c r="E472" s="3">
        <v>3</v>
      </c>
      <c r="F472" s="280" t="s">
        <v>162</v>
      </c>
      <c r="G472" s="11" t="s">
        <v>8</v>
      </c>
      <c r="H472" s="5" t="s">
        <v>1344</v>
      </c>
      <c r="I472" s="66" t="s">
        <v>1345</v>
      </c>
      <c r="J472" s="5" t="s">
        <v>1346</v>
      </c>
      <c r="K472" s="68" t="s">
        <v>1347</v>
      </c>
      <c r="L472" s="5" t="s">
        <v>679</v>
      </c>
      <c r="M472" s="53" t="s">
        <v>308</v>
      </c>
      <c r="N472" s="54" t="s">
        <v>396</v>
      </c>
      <c r="O472" s="1" t="s">
        <v>582</v>
      </c>
      <c r="P472" s="386" t="s">
        <v>1348</v>
      </c>
    </row>
    <row r="473" spans="1:17" ht="17">
      <c r="A473" s="3" t="s">
        <v>583</v>
      </c>
      <c r="B473" s="240" t="s">
        <v>6</v>
      </c>
      <c r="C473" s="11" t="s">
        <v>4</v>
      </c>
      <c r="D473" s="3" t="s">
        <v>5</v>
      </c>
      <c r="E473" s="3">
        <v>3</v>
      </c>
      <c r="F473" s="279" t="s">
        <v>162</v>
      </c>
      <c r="G473" s="3" t="s">
        <v>9</v>
      </c>
      <c r="H473" s="53">
        <v>12400522</v>
      </c>
      <c r="I473" s="54" t="s">
        <v>1898</v>
      </c>
      <c r="J473" s="6" t="s">
        <v>1899</v>
      </c>
      <c r="K473" s="67" t="s">
        <v>1900</v>
      </c>
      <c r="L473" s="5" t="s">
        <v>679</v>
      </c>
      <c r="M473" s="53" t="s">
        <v>308</v>
      </c>
      <c r="N473" s="54" t="s">
        <v>396</v>
      </c>
      <c r="O473" s="1" t="s">
        <v>582</v>
      </c>
      <c r="P473" s="385"/>
    </row>
    <row r="474" spans="1:17" ht="17">
      <c r="A474" s="3" t="s">
        <v>583</v>
      </c>
      <c r="B474" s="197" t="s">
        <v>6</v>
      </c>
      <c r="C474" s="3" t="s">
        <v>4</v>
      </c>
      <c r="D474" s="3" t="s">
        <v>5</v>
      </c>
      <c r="E474" s="3">
        <v>3</v>
      </c>
      <c r="F474" s="279" t="s">
        <v>162</v>
      </c>
      <c r="G474" s="3" t="s">
        <v>10</v>
      </c>
      <c r="H474" s="5" t="s">
        <v>1353</v>
      </c>
      <c r="I474" s="66" t="s">
        <v>262</v>
      </c>
      <c r="J474" s="5" t="s">
        <v>1354</v>
      </c>
      <c r="K474" s="68" t="s">
        <v>1355</v>
      </c>
      <c r="L474" s="5" t="s">
        <v>679</v>
      </c>
      <c r="M474" s="53" t="s">
        <v>308</v>
      </c>
      <c r="N474" s="54" t="s">
        <v>396</v>
      </c>
      <c r="O474" s="1" t="s">
        <v>582</v>
      </c>
      <c r="P474" s="386" t="s">
        <v>1356</v>
      </c>
    </row>
    <row r="475" spans="1:17" ht="17">
      <c r="A475" s="3" t="s">
        <v>583</v>
      </c>
      <c r="B475" s="197" t="s">
        <v>6</v>
      </c>
      <c r="C475" s="3" t="s">
        <v>4</v>
      </c>
      <c r="D475" s="3" t="s">
        <v>5</v>
      </c>
      <c r="E475" s="3">
        <v>3</v>
      </c>
      <c r="F475" s="279" t="s">
        <v>163</v>
      </c>
      <c r="G475" s="3" t="s">
        <v>8</v>
      </c>
      <c r="H475" s="6">
        <v>12090574</v>
      </c>
      <c r="I475" s="73" t="s">
        <v>600</v>
      </c>
      <c r="J475" s="6" t="s">
        <v>538</v>
      </c>
      <c r="K475" s="66" t="s">
        <v>539</v>
      </c>
      <c r="L475" s="5" t="s">
        <v>679</v>
      </c>
      <c r="M475" s="53" t="s">
        <v>308</v>
      </c>
      <c r="N475" s="54" t="s">
        <v>396</v>
      </c>
      <c r="O475" s="1" t="s">
        <v>582</v>
      </c>
      <c r="P475" s="5"/>
    </row>
    <row r="476" spans="1:17" ht="17">
      <c r="A476" s="3" t="s">
        <v>583</v>
      </c>
      <c r="B476" s="197" t="s">
        <v>6</v>
      </c>
      <c r="C476" s="3" t="s">
        <v>4</v>
      </c>
      <c r="D476" s="3" t="s">
        <v>5</v>
      </c>
      <c r="E476" s="3">
        <v>3</v>
      </c>
      <c r="F476" s="279" t="s">
        <v>163</v>
      </c>
      <c r="G476" s="3" t="s">
        <v>9</v>
      </c>
      <c r="H476" s="116">
        <v>12090752</v>
      </c>
      <c r="I476" s="73" t="s">
        <v>600</v>
      </c>
      <c r="J476" s="6" t="s">
        <v>540</v>
      </c>
      <c r="K476" s="66" t="s">
        <v>393</v>
      </c>
      <c r="L476" s="5" t="s">
        <v>679</v>
      </c>
      <c r="M476" s="53" t="s">
        <v>308</v>
      </c>
      <c r="N476" s="54" t="s">
        <v>396</v>
      </c>
      <c r="O476" s="1" t="s">
        <v>582</v>
      </c>
      <c r="P476" s="88"/>
    </row>
    <row r="477" spans="1:17" ht="17">
      <c r="A477" s="3" t="s">
        <v>583</v>
      </c>
      <c r="B477" s="197" t="s">
        <v>6</v>
      </c>
      <c r="C477" s="3" t="s">
        <v>4</v>
      </c>
      <c r="D477" s="3" t="s">
        <v>5</v>
      </c>
      <c r="E477" s="3">
        <v>3</v>
      </c>
      <c r="F477" s="279" t="s">
        <v>163</v>
      </c>
      <c r="G477" s="3" t="s">
        <v>10</v>
      </c>
      <c r="H477" s="6">
        <v>12090310</v>
      </c>
      <c r="I477" s="73" t="s">
        <v>600</v>
      </c>
      <c r="J477" s="6" t="s">
        <v>552</v>
      </c>
      <c r="K477" s="66" t="s">
        <v>553</v>
      </c>
      <c r="L477" s="5" t="s">
        <v>679</v>
      </c>
      <c r="M477" s="53" t="s">
        <v>308</v>
      </c>
      <c r="N477" s="54" t="s">
        <v>396</v>
      </c>
      <c r="O477" s="1" t="s">
        <v>582</v>
      </c>
      <c r="P477" s="230"/>
    </row>
    <row r="478" spans="1:17" ht="17">
      <c r="A478" s="3" t="s">
        <v>583</v>
      </c>
      <c r="B478" s="197" t="s">
        <v>6</v>
      </c>
      <c r="C478" s="3" t="s">
        <v>4</v>
      </c>
      <c r="D478" s="3" t="s">
        <v>5</v>
      </c>
      <c r="E478" s="3">
        <v>3</v>
      </c>
      <c r="F478" s="279" t="s">
        <v>164</v>
      </c>
      <c r="G478" s="3" t="s">
        <v>8</v>
      </c>
      <c r="H478" s="6">
        <v>14600850</v>
      </c>
      <c r="I478" s="73" t="s">
        <v>1848</v>
      </c>
      <c r="J478" s="6" t="s">
        <v>1849</v>
      </c>
      <c r="K478" s="5" t="s">
        <v>1850</v>
      </c>
      <c r="L478" s="5" t="s">
        <v>679</v>
      </c>
      <c r="M478" s="53" t="s">
        <v>308</v>
      </c>
      <c r="N478" s="54" t="s">
        <v>396</v>
      </c>
      <c r="O478" s="1" t="s">
        <v>582</v>
      </c>
      <c r="P478" s="88"/>
    </row>
    <row r="479" spans="1:17" ht="17">
      <c r="A479" s="3" t="s">
        <v>583</v>
      </c>
      <c r="B479" s="197" t="s">
        <v>6</v>
      </c>
      <c r="C479" s="3" t="s">
        <v>4</v>
      </c>
      <c r="D479" s="3" t="s">
        <v>5</v>
      </c>
      <c r="E479" s="3">
        <v>3</v>
      </c>
      <c r="F479" s="279" t="s">
        <v>164</v>
      </c>
      <c r="G479" s="3" t="s">
        <v>9</v>
      </c>
      <c r="H479" s="6">
        <v>12381305</v>
      </c>
      <c r="I479" s="73" t="s">
        <v>1063</v>
      </c>
      <c r="J479" s="6" t="s">
        <v>473</v>
      </c>
      <c r="K479" s="66" t="s">
        <v>474</v>
      </c>
      <c r="L479" s="5" t="s">
        <v>679</v>
      </c>
      <c r="M479" s="53" t="s">
        <v>308</v>
      </c>
      <c r="N479" s="54" t="s">
        <v>396</v>
      </c>
      <c r="O479" s="1" t="s">
        <v>582</v>
      </c>
      <c r="P479" s="230"/>
    </row>
    <row r="480" spans="1:17" ht="17">
      <c r="A480" s="3" t="s">
        <v>583</v>
      </c>
      <c r="B480" s="197" t="s">
        <v>6</v>
      </c>
      <c r="C480" s="3" t="s">
        <v>4</v>
      </c>
      <c r="D480" s="3" t="s">
        <v>5</v>
      </c>
      <c r="E480" s="3">
        <v>3</v>
      </c>
      <c r="F480" s="279" t="s">
        <v>164</v>
      </c>
      <c r="G480" s="3" t="s">
        <v>10</v>
      </c>
      <c r="H480" s="117" t="s">
        <v>379</v>
      </c>
      <c r="I480" s="135" t="s">
        <v>824</v>
      </c>
      <c r="J480" s="117" t="s">
        <v>380</v>
      </c>
      <c r="K480" s="135" t="s">
        <v>1804</v>
      </c>
      <c r="L480" s="5" t="s">
        <v>679</v>
      </c>
      <c r="M480" s="53" t="s">
        <v>308</v>
      </c>
      <c r="N480" s="54" t="s">
        <v>396</v>
      </c>
      <c r="O480" s="1" t="s">
        <v>582</v>
      </c>
      <c r="P480" s="230"/>
    </row>
    <row r="481" spans="1:17" ht="17">
      <c r="A481" s="3" t="s">
        <v>583</v>
      </c>
      <c r="B481" s="197" t="s">
        <v>6</v>
      </c>
      <c r="C481" s="3" t="s">
        <v>4</v>
      </c>
      <c r="D481" s="3" t="s">
        <v>5</v>
      </c>
      <c r="E481" s="3">
        <v>3</v>
      </c>
      <c r="F481" s="279" t="s">
        <v>165</v>
      </c>
      <c r="G481" s="3" t="s">
        <v>8</v>
      </c>
      <c r="H481" s="6">
        <v>11083256</v>
      </c>
      <c r="I481" s="73" t="s">
        <v>1178</v>
      </c>
      <c r="J481" s="6" t="s">
        <v>366</v>
      </c>
      <c r="K481" s="81" t="s">
        <v>367</v>
      </c>
      <c r="L481" s="5" t="s">
        <v>679</v>
      </c>
      <c r="M481" s="53" t="s">
        <v>308</v>
      </c>
      <c r="N481" s="54" t="s">
        <v>396</v>
      </c>
      <c r="O481" s="1" t="s">
        <v>582</v>
      </c>
      <c r="P481" s="1"/>
    </row>
    <row r="482" spans="1:17" ht="17">
      <c r="A482" s="3" t="s">
        <v>583</v>
      </c>
      <c r="B482" s="197" t="s">
        <v>6</v>
      </c>
      <c r="C482" s="3" t="s">
        <v>4</v>
      </c>
      <c r="D482" s="3" t="s">
        <v>5</v>
      </c>
      <c r="E482" s="3">
        <v>3</v>
      </c>
      <c r="F482" s="279" t="s">
        <v>165</v>
      </c>
      <c r="G482" s="3" t="s">
        <v>9</v>
      </c>
      <c r="H482" s="5" t="s">
        <v>277</v>
      </c>
      <c r="I482" s="66" t="s">
        <v>1805</v>
      </c>
      <c r="J482" s="5" t="s">
        <v>242</v>
      </c>
      <c r="K482" s="66" t="s">
        <v>301</v>
      </c>
      <c r="L482" s="5" t="s">
        <v>679</v>
      </c>
      <c r="M482" s="53" t="s">
        <v>308</v>
      </c>
      <c r="N482" s="54" t="s">
        <v>396</v>
      </c>
      <c r="O482" s="1" t="s">
        <v>582</v>
      </c>
      <c r="P482" s="1"/>
    </row>
    <row r="483" spans="1:17" ht="17">
      <c r="A483" s="3" t="s">
        <v>583</v>
      </c>
      <c r="B483" s="197" t="s">
        <v>6</v>
      </c>
      <c r="C483" s="3" t="s">
        <v>4</v>
      </c>
      <c r="D483" s="3" t="s">
        <v>5</v>
      </c>
      <c r="E483" s="3">
        <v>3</v>
      </c>
      <c r="F483" s="279" t="s">
        <v>165</v>
      </c>
      <c r="G483" s="3" t="s">
        <v>10</v>
      </c>
      <c r="H483" s="5" t="s">
        <v>283</v>
      </c>
      <c r="I483" s="66" t="s">
        <v>558</v>
      </c>
      <c r="J483" s="5" t="s">
        <v>234</v>
      </c>
      <c r="K483" s="66" t="s">
        <v>297</v>
      </c>
      <c r="L483" s="5" t="s">
        <v>679</v>
      </c>
      <c r="M483" s="53" t="s">
        <v>308</v>
      </c>
      <c r="N483" s="54" t="s">
        <v>396</v>
      </c>
      <c r="O483" s="1" t="s">
        <v>582</v>
      </c>
      <c r="P483" s="1"/>
    </row>
    <row r="484" spans="1:17" ht="16.5" customHeight="1">
      <c r="A484" s="3" t="s">
        <v>583</v>
      </c>
      <c r="B484" s="197" t="s">
        <v>6</v>
      </c>
      <c r="C484" s="3" t="s">
        <v>4</v>
      </c>
      <c r="D484" s="3" t="s">
        <v>5</v>
      </c>
      <c r="E484" s="3">
        <v>3</v>
      </c>
      <c r="F484" s="279" t="s">
        <v>166</v>
      </c>
      <c r="G484" s="3" t="s">
        <v>8</v>
      </c>
      <c r="H484" s="116">
        <v>12361230</v>
      </c>
      <c r="I484" s="73" t="s">
        <v>1357</v>
      </c>
      <c r="J484" s="6" t="s">
        <v>543</v>
      </c>
      <c r="K484" s="66" t="s">
        <v>544</v>
      </c>
      <c r="L484" s="5" t="s">
        <v>679</v>
      </c>
      <c r="M484" s="53" t="s">
        <v>308</v>
      </c>
      <c r="N484" s="54" t="s">
        <v>396</v>
      </c>
      <c r="O484" s="1" t="s">
        <v>582</v>
      </c>
      <c r="P484" s="1"/>
    </row>
    <row r="485" spans="1:17" ht="17">
      <c r="A485" s="3" t="s">
        <v>583</v>
      </c>
      <c r="B485" s="197" t="s">
        <v>6</v>
      </c>
      <c r="C485" s="3" t="s">
        <v>4</v>
      </c>
      <c r="D485" s="3" t="s">
        <v>5</v>
      </c>
      <c r="E485" s="3">
        <v>3</v>
      </c>
      <c r="F485" s="279" t="s">
        <v>166</v>
      </c>
      <c r="G485" s="3" t="s">
        <v>9</v>
      </c>
      <c r="H485" s="6">
        <v>12210540</v>
      </c>
      <c r="I485" s="73" t="s">
        <v>1806</v>
      </c>
      <c r="J485" s="6" t="s">
        <v>1807</v>
      </c>
      <c r="K485" s="67" t="s">
        <v>547</v>
      </c>
      <c r="L485" s="5" t="s">
        <v>679</v>
      </c>
      <c r="M485" s="79" t="s">
        <v>308</v>
      </c>
      <c r="N485" s="54" t="s">
        <v>396</v>
      </c>
      <c r="O485" s="1" t="s">
        <v>582</v>
      </c>
      <c r="P485" s="230"/>
    </row>
    <row r="486" spans="1:17" ht="17">
      <c r="A486" s="3" t="s">
        <v>583</v>
      </c>
      <c r="B486" s="197" t="s">
        <v>6</v>
      </c>
      <c r="C486" s="3" t="s">
        <v>4</v>
      </c>
      <c r="D486" s="3" t="s">
        <v>5</v>
      </c>
      <c r="E486" s="3">
        <v>3</v>
      </c>
      <c r="F486" s="279" t="s">
        <v>166</v>
      </c>
      <c r="G486" s="3" t="s">
        <v>10</v>
      </c>
      <c r="H486" s="116">
        <v>11140493</v>
      </c>
      <c r="I486" s="73" t="s">
        <v>436</v>
      </c>
      <c r="J486" s="6" t="s">
        <v>545</v>
      </c>
      <c r="K486" s="66" t="s">
        <v>546</v>
      </c>
      <c r="L486" s="5" t="s">
        <v>679</v>
      </c>
      <c r="M486" s="53" t="s">
        <v>308</v>
      </c>
      <c r="N486" s="54" t="s">
        <v>396</v>
      </c>
      <c r="O486" s="1" t="s">
        <v>582</v>
      </c>
      <c r="P486" s="1"/>
    </row>
    <row r="487" spans="1:17" ht="17">
      <c r="A487" s="3" t="s">
        <v>583</v>
      </c>
      <c r="B487" s="197" t="s">
        <v>6</v>
      </c>
      <c r="C487" s="3" t="s">
        <v>4</v>
      </c>
      <c r="D487" s="3" t="s">
        <v>5</v>
      </c>
      <c r="E487" s="3">
        <v>3</v>
      </c>
      <c r="F487" s="279" t="s">
        <v>167</v>
      </c>
      <c r="G487" s="3" t="s">
        <v>8</v>
      </c>
      <c r="H487" s="5" t="s">
        <v>1358</v>
      </c>
      <c r="I487" s="133" t="s">
        <v>1327</v>
      </c>
      <c r="J487" s="5" t="s">
        <v>1359</v>
      </c>
      <c r="K487" s="66" t="s">
        <v>1360</v>
      </c>
      <c r="L487" s="5" t="s">
        <v>679</v>
      </c>
      <c r="M487" s="79" t="s">
        <v>308</v>
      </c>
      <c r="N487" s="54" t="s">
        <v>396</v>
      </c>
      <c r="O487" s="1" t="s">
        <v>582</v>
      </c>
      <c r="P487" s="384" t="s">
        <v>1361</v>
      </c>
    </row>
    <row r="488" spans="1:17" ht="17">
      <c r="A488" s="3" t="s">
        <v>583</v>
      </c>
      <c r="B488" s="197" t="s">
        <v>6</v>
      </c>
      <c r="C488" s="3" t="s">
        <v>4</v>
      </c>
      <c r="D488" s="3" t="s">
        <v>5</v>
      </c>
      <c r="E488" s="3">
        <v>3</v>
      </c>
      <c r="F488" s="279" t="s">
        <v>167</v>
      </c>
      <c r="G488" s="3" t="s">
        <v>9</v>
      </c>
      <c r="H488" s="6">
        <v>11240086</v>
      </c>
      <c r="I488" s="73" t="s">
        <v>1851</v>
      </c>
      <c r="J488" s="6" t="s">
        <v>1852</v>
      </c>
      <c r="K488" s="5" t="s">
        <v>1853</v>
      </c>
      <c r="L488" s="5" t="s">
        <v>679</v>
      </c>
      <c r="M488" s="79" t="s">
        <v>308</v>
      </c>
      <c r="N488" s="54" t="s">
        <v>396</v>
      </c>
      <c r="O488" s="1" t="s">
        <v>582</v>
      </c>
      <c r="P488" s="385"/>
    </row>
    <row r="489" spans="1:17" ht="17">
      <c r="A489" s="3" t="s">
        <v>583</v>
      </c>
      <c r="B489" s="197" t="s">
        <v>6</v>
      </c>
      <c r="C489" s="3" t="s">
        <v>4</v>
      </c>
      <c r="D489" s="3" t="s">
        <v>5</v>
      </c>
      <c r="E489" s="3">
        <v>3</v>
      </c>
      <c r="F489" s="279" t="s">
        <v>167</v>
      </c>
      <c r="G489" s="3" t="s">
        <v>10</v>
      </c>
      <c r="H489" s="5" t="s">
        <v>1362</v>
      </c>
      <c r="I489" s="133" t="s">
        <v>264</v>
      </c>
      <c r="J489" s="5" t="s">
        <v>1363</v>
      </c>
      <c r="K489" s="66" t="s">
        <v>1364</v>
      </c>
      <c r="L489" s="5" t="s">
        <v>679</v>
      </c>
      <c r="M489" s="79" t="s">
        <v>308</v>
      </c>
      <c r="N489" s="54" t="s">
        <v>396</v>
      </c>
      <c r="O489" s="1" t="s">
        <v>582</v>
      </c>
      <c r="P489" s="384" t="s">
        <v>1365</v>
      </c>
    </row>
    <row r="490" spans="1:17" ht="17">
      <c r="A490" s="3" t="s">
        <v>583</v>
      </c>
      <c r="B490" s="197" t="s">
        <v>6</v>
      </c>
      <c r="C490" s="3" t="s">
        <v>4</v>
      </c>
      <c r="D490" s="3" t="s">
        <v>5</v>
      </c>
      <c r="E490" s="3">
        <v>3</v>
      </c>
      <c r="F490" s="279" t="s">
        <v>168</v>
      </c>
      <c r="G490" s="3" t="s">
        <v>8</v>
      </c>
      <c r="H490" s="5" t="s">
        <v>567</v>
      </c>
      <c r="I490" s="66" t="s">
        <v>449</v>
      </c>
      <c r="J490" s="5" t="s">
        <v>372</v>
      </c>
      <c r="K490" s="66" t="s">
        <v>373</v>
      </c>
      <c r="L490" s="5" t="s">
        <v>679</v>
      </c>
      <c r="M490" s="79" t="s">
        <v>308</v>
      </c>
      <c r="N490" s="54" t="s">
        <v>396</v>
      </c>
      <c r="O490" s="1" t="s">
        <v>582</v>
      </c>
      <c r="P490" s="387"/>
    </row>
    <row r="491" spans="1:17" ht="17">
      <c r="A491" s="3" t="s">
        <v>583</v>
      </c>
      <c r="B491" s="197" t="s">
        <v>6</v>
      </c>
      <c r="C491" s="3" t="s">
        <v>4</v>
      </c>
      <c r="D491" s="3" t="s">
        <v>5</v>
      </c>
      <c r="E491" s="3">
        <v>3</v>
      </c>
      <c r="F491" s="279" t="s">
        <v>168</v>
      </c>
      <c r="G491" s="3" t="s">
        <v>9</v>
      </c>
      <c r="H491" s="6">
        <v>11140174</v>
      </c>
      <c r="I491" s="73" t="s">
        <v>436</v>
      </c>
      <c r="J491" s="6" t="s">
        <v>549</v>
      </c>
      <c r="K491" s="66" t="s">
        <v>550</v>
      </c>
      <c r="L491" s="5" t="s">
        <v>679</v>
      </c>
      <c r="M491" s="53" t="s">
        <v>308</v>
      </c>
      <c r="N491" s="54" t="s">
        <v>396</v>
      </c>
      <c r="O491" s="1" t="s">
        <v>582</v>
      </c>
      <c r="P491" s="1"/>
    </row>
    <row r="492" spans="1:17" s="289" customFormat="1" ht="19.5" customHeight="1">
      <c r="A492" s="3" t="s">
        <v>583</v>
      </c>
      <c r="B492" s="197" t="s">
        <v>6</v>
      </c>
      <c r="C492" s="3" t="s">
        <v>4</v>
      </c>
      <c r="D492" s="3" t="s">
        <v>5</v>
      </c>
      <c r="E492" s="3">
        <v>3</v>
      </c>
      <c r="F492" s="279" t="s">
        <v>168</v>
      </c>
      <c r="G492" s="3" t="s">
        <v>10</v>
      </c>
      <c r="H492" s="141">
        <v>13640045</v>
      </c>
      <c r="I492" s="310" t="s">
        <v>859</v>
      </c>
      <c r="J492" s="141" t="s">
        <v>576</v>
      </c>
      <c r="K492" s="288" t="s">
        <v>1808</v>
      </c>
      <c r="L492" s="5" t="s">
        <v>679</v>
      </c>
      <c r="M492" s="6" t="s">
        <v>308</v>
      </c>
      <c r="N492" s="6" t="s">
        <v>396</v>
      </c>
      <c r="O492" s="1" t="s">
        <v>582</v>
      </c>
      <c r="P492" s="142" t="s">
        <v>1809</v>
      </c>
      <c r="Q492" s="119"/>
    </row>
    <row r="493" spans="1:17" ht="17">
      <c r="A493" s="3" t="s">
        <v>583</v>
      </c>
      <c r="B493" s="197" t="s">
        <v>6</v>
      </c>
      <c r="C493" s="3" t="s">
        <v>4</v>
      </c>
      <c r="D493" s="3" t="s">
        <v>5</v>
      </c>
      <c r="E493" s="3">
        <v>3</v>
      </c>
      <c r="F493" s="279" t="s">
        <v>169</v>
      </c>
      <c r="G493" s="3" t="s">
        <v>8</v>
      </c>
      <c r="H493" s="5" t="s">
        <v>1366</v>
      </c>
      <c r="I493" s="66" t="s">
        <v>263</v>
      </c>
      <c r="J493" s="5" t="s">
        <v>1367</v>
      </c>
      <c r="K493" s="68" t="s">
        <v>1368</v>
      </c>
      <c r="L493" s="5" t="s">
        <v>679</v>
      </c>
      <c r="M493" s="53" t="s">
        <v>308</v>
      </c>
      <c r="N493" s="54" t="s">
        <v>396</v>
      </c>
      <c r="O493" s="1" t="s">
        <v>582</v>
      </c>
      <c r="P493" s="386" t="s">
        <v>1368</v>
      </c>
      <c r="Q493" s="394"/>
    </row>
    <row r="494" spans="1:17" ht="17">
      <c r="A494" s="3" t="s">
        <v>583</v>
      </c>
      <c r="B494" s="197" t="s">
        <v>6</v>
      </c>
      <c r="C494" s="3" t="s">
        <v>4</v>
      </c>
      <c r="D494" s="3" t="s">
        <v>5</v>
      </c>
      <c r="E494" s="3">
        <v>3</v>
      </c>
      <c r="F494" s="279" t="s">
        <v>169</v>
      </c>
      <c r="G494" s="3" t="s">
        <v>9</v>
      </c>
      <c r="H494" s="5" t="s">
        <v>1369</v>
      </c>
      <c r="I494" s="66" t="s">
        <v>270</v>
      </c>
      <c r="J494" s="5" t="s">
        <v>1370</v>
      </c>
      <c r="K494" s="68" t="s">
        <v>1371</v>
      </c>
      <c r="L494" s="5" t="s">
        <v>679</v>
      </c>
      <c r="M494" s="53" t="s">
        <v>308</v>
      </c>
      <c r="N494" s="54" t="s">
        <v>396</v>
      </c>
      <c r="O494" s="1" t="s">
        <v>582</v>
      </c>
      <c r="P494" s="386" t="s">
        <v>2031</v>
      </c>
      <c r="Q494" s="394"/>
    </row>
    <row r="495" spans="1:17" ht="17">
      <c r="A495" s="3" t="s">
        <v>583</v>
      </c>
      <c r="B495" s="197" t="s">
        <v>6</v>
      </c>
      <c r="C495" s="3" t="s">
        <v>4</v>
      </c>
      <c r="D495" s="3" t="s">
        <v>5</v>
      </c>
      <c r="E495" s="3">
        <v>3</v>
      </c>
      <c r="F495" s="279" t="s">
        <v>169</v>
      </c>
      <c r="G495" s="3" t="s">
        <v>10</v>
      </c>
      <c r="H495" s="5" t="s">
        <v>1372</v>
      </c>
      <c r="I495" s="66" t="s">
        <v>272</v>
      </c>
      <c r="J495" s="5" t="s">
        <v>1373</v>
      </c>
      <c r="K495" s="68" t="s">
        <v>1374</v>
      </c>
      <c r="L495" s="5" t="s">
        <v>679</v>
      </c>
      <c r="M495" s="53" t="s">
        <v>308</v>
      </c>
      <c r="N495" s="54" t="s">
        <v>396</v>
      </c>
      <c r="O495" s="1" t="s">
        <v>582</v>
      </c>
      <c r="P495" s="386" t="s">
        <v>1375</v>
      </c>
      <c r="Q495" s="394"/>
    </row>
    <row r="496" spans="1:17" ht="17">
      <c r="A496" s="3" t="s">
        <v>583</v>
      </c>
      <c r="B496" s="197" t="s">
        <v>6</v>
      </c>
      <c r="C496" s="3" t="s">
        <v>4</v>
      </c>
      <c r="D496" s="3" t="s">
        <v>5</v>
      </c>
      <c r="E496" s="3">
        <v>3</v>
      </c>
      <c r="F496" s="279" t="s">
        <v>170</v>
      </c>
      <c r="G496" s="3" t="s">
        <v>8</v>
      </c>
      <c r="H496" s="5" t="s">
        <v>519</v>
      </c>
      <c r="I496" s="133" t="s">
        <v>859</v>
      </c>
      <c r="J496" s="5" t="s">
        <v>520</v>
      </c>
      <c r="K496" s="68" t="s">
        <v>521</v>
      </c>
      <c r="L496" s="5" t="s">
        <v>679</v>
      </c>
      <c r="M496" s="53" t="s">
        <v>308</v>
      </c>
      <c r="N496" s="54" t="s">
        <v>396</v>
      </c>
      <c r="O496" s="1" t="s">
        <v>582</v>
      </c>
      <c r="P496" s="385"/>
      <c r="Q496" s="394"/>
    </row>
    <row r="497" spans="1:22" ht="17">
      <c r="A497" s="3" t="s">
        <v>583</v>
      </c>
      <c r="B497" s="197" t="s">
        <v>6</v>
      </c>
      <c r="C497" s="3" t="s">
        <v>4</v>
      </c>
      <c r="D497" s="3" t="s">
        <v>5</v>
      </c>
      <c r="E497" s="3">
        <v>3</v>
      </c>
      <c r="F497" s="279" t="s">
        <v>170</v>
      </c>
      <c r="G497" s="3" t="s">
        <v>9</v>
      </c>
      <c r="H497" s="6">
        <v>12050706</v>
      </c>
      <c r="I497" s="73" t="s">
        <v>1810</v>
      </c>
      <c r="J497" s="6" t="s">
        <v>555</v>
      </c>
      <c r="K497" s="66" t="s">
        <v>556</v>
      </c>
      <c r="L497" s="5" t="s">
        <v>679</v>
      </c>
      <c r="M497" s="53" t="s">
        <v>308</v>
      </c>
      <c r="N497" s="54" t="s">
        <v>396</v>
      </c>
      <c r="O497" s="1" t="s">
        <v>582</v>
      </c>
      <c r="P497" s="385"/>
      <c r="Q497" s="394"/>
    </row>
    <row r="498" spans="1:22" ht="17">
      <c r="A498" s="3" t="s">
        <v>583</v>
      </c>
      <c r="B498" s="197" t="s">
        <v>6</v>
      </c>
      <c r="C498" s="3" t="s">
        <v>4</v>
      </c>
      <c r="D498" s="3" t="s">
        <v>5</v>
      </c>
      <c r="E498" s="3">
        <v>3</v>
      </c>
      <c r="F498" s="279" t="s">
        <v>170</v>
      </c>
      <c r="G498" s="3" t="s">
        <v>10</v>
      </c>
      <c r="H498" s="5" t="s">
        <v>1376</v>
      </c>
      <c r="I498" s="133" t="s">
        <v>1030</v>
      </c>
      <c r="J498" s="5" t="s">
        <v>1377</v>
      </c>
      <c r="K498" s="66" t="s">
        <v>1378</v>
      </c>
      <c r="L498" s="5" t="s">
        <v>679</v>
      </c>
      <c r="M498" s="53" t="s">
        <v>308</v>
      </c>
      <c r="N498" s="54" t="s">
        <v>396</v>
      </c>
      <c r="O498" s="1" t="s">
        <v>582</v>
      </c>
      <c r="P498" s="384" t="s">
        <v>2032</v>
      </c>
      <c r="Q498" s="136"/>
    </row>
    <row r="499" spans="1:22" ht="17">
      <c r="A499" s="3" t="s">
        <v>583</v>
      </c>
      <c r="B499" s="197" t="s">
        <v>6</v>
      </c>
      <c r="C499" s="3" t="s">
        <v>4</v>
      </c>
      <c r="D499" s="3" t="s">
        <v>5</v>
      </c>
      <c r="E499" s="3">
        <v>3</v>
      </c>
      <c r="F499" s="279" t="s">
        <v>171</v>
      </c>
      <c r="G499" s="3" t="s">
        <v>8</v>
      </c>
      <c r="H499" s="5" t="s">
        <v>1379</v>
      </c>
      <c r="I499" s="66" t="s">
        <v>1327</v>
      </c>
      <c r="J499" s="5" t="s">
        <v>1380</v>
      </c>
      <c r="K499" s="68" t="s">
        <v>1381</v>
      </c>
      <c r="L499" s="5" t="s">
        <v>679</v>
      </c>
      <c r="M499" s="53" t="s">
        <v>308</v>
      </c>
      <c r="N499" s="54" t="s">
        <v>396</v>
      </c>
      <c r="O499" s="1" t="s">
        <v>582</v>
      </c>
      <c r="P499" s="386" t="s">
        <v>2033</v>
      </c>
      <c r="Q499" s="136"/>
    </row>
    <row r="500" spans="1:22" ht="17">
      <c r="A500" s="3" t="s">
        <v>583</v>
      </c>
      <c r="B500" s="197" t="s">
        <v>6</v>
      </c>
      <c r="C500" s="3" t="s">
        <v>4</v>
      </c>
      <c r="D500" s="3" t="s">
        <v>5</v>
      </c>
      <c r="E500" s="3">
        <v>3</v>
      </c>
      <c r="F500" s="279" t="s">
        <v>171</v>
      </c>
      <c r="G500" s="3" t="s">
        <v>9</v>
      </c>
      <c r="H500" s="5" t="s">
        <v>1382</v>
      </c>
      <c r="I500" s="66" t="s">
        <v>916</v>
      </c>
      <c r="J500" s="5" t="s">
        <v>1383</v>
      </c>
      <c r="K500" s="68" t="s">
        <v>1384</v>
      </c>
      <c r="L500" s="5" t="s">
        <v>679</v>
      </c>
      <c r="M500" s="53" t="s">
        <v>308</v>
      </c>
      <c r="N500" s="54" t="s">
        <v>396</v>
      </c>
      <c r="O500" s="1" t="s">
        <v>582</v>
      </c>
      <c r="P500" s="386" t="s">
        <v>2034</v>
      </c>
      <c r="Q500" s="136"/>
    </row>
    <row r="501" spans="1:22" ht="17">
      <c r="A501" s="3" t="s">
        <v>583</v>
      </c>
      <c r="B501" s="197" t="s">
        <v>6</v>
      </c>
      <c r="C501" s="3" t="s">
        <v>4</v>
      </c>
      <c r="D501" s="3" t="s">
        <v>5</v>
      </c>
      <c r="E501" s="3">
        <v>3</v>
      </c>
      <c r="F501" s="279" t="s">
        <v>171</v>
      </c>
      <c r="G501" s="3" t="s">
        <v>10</v>
      </c>
      <c r="H501" s="5" t="s">
        <v>1385</v>
      </c>
      <c r="I501" s="66" t="s">
        <v>272</v>
      </c>
      <c r="J501" s="5" t="s">
        <v>1386</v>
      </c>
      <c r="K501" s="68" t="s">
        <v>1387</v>
      </c>
      <c r="L501" s="5" t="s">
        <v>679</v>
      </c>
      <c r="M501" s="53" t="s">
        <v>308</v>
      </c>
      <c r="N501" s="54" t="s">
        <v>396</v>
      </c>
      <c r="O501" s="1" t="s">
        <v>582</v>
      </c>
      <c r="P501" s="386" t="s">
        <v>1387</v>
      </c>
      <c r="Q501" s="136"/>
    </row>
    <row r="502" spans="1:22" ht="17">
      <c r="A502" s="3" t="s">
        <v>583</v>
      </c>
      <c r="B502" s="197" t="s">
        <v>6</v>
      </c>
      <c r="C502" s="3" t="s">
        <v>4</v>
      </c>
      <c r="D502" s="3" t="s">
        <v>5</v>
      </c>
      <c r="E502" s="3">
        <v>3</v>
      </c>
      <c r="F502" s="279" t="s">
        <v>172</v>
      </c>
      <c r="G502" s="3" t="s">
        <v>8</v>
      </c>
      <c r="H502" s="5" t="s">
        <v>1388</v>
      </c>
      <c r="I502" s="133" t="s">
        <v>273</v>
      </c>
      <c r="J502" s="5" t="s">
        <v>1389</v>
      </c>
      <c r="K502" s="66" t="s">
        <v>1390</v>
      </c>
      <c r="L502" s="5" t="s">
        <v>679</v>
      </c>
      <c r="M502" s="53" t="s">
        <v>308</v>
      </c>
      <c r="N502" s="54" t="s">
        <v>396</v>
      </c>
      <c r="O502" s="1" t="s">
        <v>582</v>
      </c>
      <c r="P502" s="384" t="s">
        <v>2035</v>
      </c>
      <c r="Q502" s="136"/>
      <c r="R502" s="136"/>
    </row>
    <row r="503" spans="1:22" ht="17">
      <c r="A503" s="3" t="s">
        <v>583</v>
      </c>
      <c r="B503" s="197" t="s">
        <v>6</v>
      </c>
      <c r="C503" s="3" t="s">
        <v>4</v>
      </c>
      <c r="D503" s="3" t="s">
        <v>5</v>
      </c>
      <c r="E503" s="3">
        <v>3</v>
      </c>
      <c r="F503" s="279" t="s">
        <v>172</v>
      </c>
      <c r="G503" s="3" t="s">
        <v>9</v>
      </c>
      <c r="H503" s="5" t="s">
        <v>1391</v>
      </c>
      <c r="I503" s="133" t="s">
        <v>275</v>
      </c>
      <c r="J503" s="5" t="s">
        <v>1392</v>
      </c>
      <c r="K503" s="66" t="s">
        <v>1393</v>
      </c>
      <c r="L503" s="5" t="s">
        <v>679</v>
      </c>
      <c r="M503" s="53" t="s">
        <v>308</v>
      </c>
      <c r="N503" s="54" t="s">
        <v>396</v>
      </c>
      <c r="O503" s="1" t="s">
        <v>582</v>
      </c>
      <c r="P503" s="384" t="s">
        <v>2036</v>
      </c>
      <c r="Q503" s="136"/>
      <c r="R503" s="136"/>
    </row>
    <row r="504" spans="1:22" ht="17">
      <c r="A504" s="3" t="s">
        <v>583</v>
      </c>
      <c r="B504" s="197" t="s">
        <v>6</v>
      </c>
      <c r="C504" s="3" t="s">
        <v>4</v>
      </c>
      <c r="D504" s="3" t="s">
        <v>5</v>
      </c>
      <c r="E504" s="3">
        <v>3</v>
      </c>
      <c r="F504" s="279" t="s">
        <v>172</v>
      </c>
      <c r="G504" s="3" t="s">
        <v>10</v>
      </c>
      <c r="H504" s="5" t="s">
        <v>279</v>
      </c>
      <c r="I504" s="66" t="s">
        <v>1811</v>
      </c>
      <c r="J504" s="5" t="s">
        <v>247</v>
      </c>
      <c r="K504" s="81" t="s">
        <v>294</v>
      </c>
      <c r="L504" s="5" t="s">
        <v>679</v>
      </c>
      <c r="M504" s="53" t="s">
        <v>308</v>
      </c>
      <c r="N504" s="54" t="s">
        <v>396</v>
      </c>
      <c r="O504" s="1" t="s">
        <v>582</v>
      </c>
      <c r="P504" s="1"/>
    </row>
    <row r="505" spans="1:22" ht="17">
      <c r="A505" s="3" t="s">
        <v>583</v>
      </c>
      <c r="B505" s="197" t="s">
        <v>6</v>
      </c>
      <c r="C505" s="3" t="s">
        <v>4</v>
      </c>
      <c r="D505" s="3" t="s">
        <v>5</v>
      </c>
      <c r="E505" s="3">
        <v>3</v>
      </c>
      <c r="F505" s="279" t="s">
        <v>173</v>
      </c>
      <c r="G505" s="3" t="s">
        <v>8</v>
      </c>
      <c r="H505" s="5" t="s">
        <v>376</v>
      </c>
      <c r="I505" s="66" t="s">
        <v>1143</v>
      </c>
      <c r="J505" s="5" t="s">
        <v>377</v>
      </c>
      <c r="K505" s="66" t="s">
        <v>387</v>
      </c>
      <c r="L505" s="5" t="s">
        <v>679</v>
      </c>
      <c r="M505" s="53" t="s">
        <v>308</v>
      </c>
      <c r="N505" s="54" t="s">
        <v>396</v>
      </c>
      <c r="O505" s="1" t="s">
        <v>582</v>
      </c>
      <c r="P505" s="1"/>
    </row>
    <row r="506" spans="1:22" ht="17">
      <c r="A506" s="3" t="s">
        <v>583</v>
      </c>
      <c r="B506" s="197" t="s">
        <v>6</v>
      </c>
      <c r="C506" s="3" t="s">
        <v>4</v>
      </c>
      <c r="D506" s="3" t="s">
        <v>5</v>
      </c>
      <c r="E506" s="3">
        <v>3</v>
      </c>
      <c r="F506" s="279" t="s">
        <v>173</v>
      </c>
      <c r="G506" s="3" t="s">
        <v>9</v>
      </c>
      <c r="H506" s="65">
        <v>13440371</v>
      </c>
      <c r="I506" s="307" t="s">
        <v>422</v>
      </c>
      <c r="J506" s="65" t="s">
        <v>584</v>
      </c>
      <c r="K506" s="64" t="s">
        <v>585</v>
      </c>
      <c r="L506" s="5" t="s">
        <v>679</v>
      </c>
      <c r="M506" s="53" t="s">
        <v>308</v>
      </c>
      <c r="N506" s="54" t="s">
        <v>396</v>
      </c>
      <c r="O506" s="1" t="s">
        <v>582</v>
      </c>
      <c r="P506" s="53" t="s">
        <v>586</v>
      </c>
    </row>
    <row r="507" spans="1:22" ht="17">
      <c r="A507" s="3" t="s">
        <v>583</v>
      </c>
      <c r="B507" s="197" t="s">
        <v>6</v>
      </c>
      <c r="C507" s="3" t="s">
        <v>4</v>
      </c>
      <c r="D507" s="3" t="s">
        <v>5</v>
      </c>
      <c r="E507" s="3" t="s">
        <v>229</v>
      </c>
      <c r="F507" s="279" t="s">
        <v>173</v>
      </c>
      <c r="G507" s="3" t="s">
        <v>10</v>
      </c>
      <c r="H507" s="69" t="s">
        <v>1394</v>
      </c>
      <c r="I507" s="133" t="s">
        <v>1812</v>
      </c>
      <c r="J507" s="69" t="s">
        <v>1395</v>
      </c>
      <c r="K507" s="66" t="s">
        <v>1910</v>
      </c>
      <c r="L507" s="5" t="s">
        <v>679</v>
      </c>
      <c r="M507" s="53" t="s">
        <v>308</v>
      </c>
      <c r="N507" s="54" t="s">
        <v>396</v>
      </c>
      <c r="O507" s="1" t="s">
        <v>582</v>
      </c>
      <c r="P507" s="230"/>
    </row>
    <row r="508" spans="1:22">
      <c r="A508" s="3"/>
      <c r="B508" s="197"/>
      <c r="C508" s="3"/>
      <c r="D508" s="3"/>
      <c r="E508" s="3"/>
      <c r="F508" s="280"/>
      <c r="G508" s="11"/>
      <c r="H508" s="5"/>
      <c r="I508" s="59"/>
      <c r="J508" s="6"/>
      <c r="K508" s="5"/>
      <c r="L508" s="6"/>
      <c r="M508" s="6"/>
      <c r="N508" s="53"/>
      <c r="O508" s="53"/>
      <c r="P508" s="1"/>
    </row>
    <row r="509" spans="1:22">
      <c r="A509" s="3"/>
      <c r="B509" s="197"/>
      <c r="C509" s="3"/>
      <c r="D509" s="3"/>
      <c r="E509" s="3"/>
      <c r="F509" s="280"/>
      <c r="G509" s="11"/>
      <c r="H509" s="5"/>
      <c r="I509" s="59"/>
      <c r="J509" s="6"/>
      <c r="K509" s="5"/>
      <c r="L509" s="6"/>
      <c r="M509" s="6"/>
      <c r="N509" s="53"/>
      <c r="O509" s="53"/>
      <c r="P509" s="1"/>
    </row>
    <row r="510" spans="1:22">
      <c r="A510" s="3"/>
      <c r="B510" s="197"/>
      <c r="C510" s="3"/>
      <c r="D510" s="3"/>
      <c r="E510" s="3"/>
      <c r="F510" s="279"/>
      <c r="G510" s="3"/>
      <c r="H510" s="58"/>
      <c r="I510" s="59"/>
      <c r="J510" s="60"/>
      <c r="K510" s="58"/>
      <c r="L510" s="6"/>
      <c r="M510" s="6"/>
      <c r="N510" s="53"/>
      <c r="O510" s="53"/>
      <c r="P510" s="1"/>
    </row>
    <row r="511" spans="1:22" s="82" customFormat="1" ht="17">
      <c r="A511" s="3" t="s">
        <v>583</v>
      </c>
      <c r="B511" s="197" t="s">
        <v>6</v>
      </c>
      <c r="C511" s="3" t="s">
        <v>230</v>
      </c>
      <c r="D511" s="3" t="s">
        <v>5</v>
      </c>
      <c r="E511" s="3">
        <v>3</v>
      </c>
      <c r="F511" s="279" t="s">
        <v>174</v>
      </c>
      <c r="G511" s="3" t="s">
        <v>8</v>
      </c>
      <c r="H511" s="5" t="s">
        <v>1396</v>
      </c>
      <c r="I511" s="66" t="s">
        <v>271</v>
      </c>
      <c r="J511" s="5" t="s">
        <v>1397</v>
      </c>
      <c r="K511" s="68" t="s">
        <v>1398</v>
      </c>
      <c r="L511" s="5" t="s">
        <v>679</v>
      </c>
      <c r="M511" s="53" t="s">
        <v>1813</v>
      </c>
      <c r="N511" s="54" t="s">
        <v>1814</v>
      </c>
      <c r="O511" s="1" t="s">
        <v>1815</v>
      </c>
      <c r="P511" s="67" t="s">
        <v>2037</v>
      </c>
      <c r="Q511" s="395"/>
      <c r="R511" s="90"/>
    </row>
    <row r="512" spans="1:22" ht="17">
      <c r="A512" s="3" t="s">
        <v>583</v>
      </c>
      <c r="B512" s="197" t="s">
        <v>6</v>
      </c>
      <c r="C512" s="3" t="s">
        <v>4</v>
      </c>
      <c r="D512" s="3" t="s">
        <v>5</v>
      </c>
      <c r="E512" s="3">
        <v>3</v>
      </c>
      <c r="F512" s="279" t="s">
        <v>174</v>
      </c>
      <c r="G512" s="3" t="s">
        <v>9</v>
      </c>
      <c r="H512" s="5" t="s">
        <v>1399</v>
      </c>
      <c r="I512" s="66" t="s">
        <v>275</v>
      </c>
      <c r="J512" s="5" t="s">
        <v>1400</v>
      </c>
      <c r="K512" s="68" t="s">
        <v>1401</v>
      </c>
      <c r="L512" s="5" t="s">
        <v>679</v>
      </c>
      <c r="M512" s="53" t="s">
        <v>1813</v>
      </c>
      <c r="N512" s="54" t="s">
        <v>1814</v>
      </c>
      <c r="O512" s="1" t="s">
        <v>1815</v>
      </c>
      <c r="P512" s="67" t="s">
        <v>2038</v>
      </c>
      <c r="R512" s="90"/>
      <c r="S512" s="149"/>
      <c r="T512" s="103"/>
      <c r="U512" s="151"/>
      <c r="V512" s="150"/>
    </row>
    <row r="513" spans="1:18" ht="17">
      <c r="A513" s="3" t="s">
        <v>583</v>
      </c>
      <c r="B513" s="197" t="s">
        <v>6</v>
      </c>
      <c r="C513" s="3" t="s">
        <v>4</v>
      </c>
      <c r="D513" s="3" t="s">
        <v>5</v>
      </c>
      <c r="E513" s="3">
        <v>3</v>
      </c>
      <c r="F513" s="279" t="s">
        <v>174</v>
      </c>
      <c r="G513" s="3" t="s">
        <v>10</v>
      </c>
      <c r="H513" s="5" t="s">
        <v>1402</v>
      </c>
      <c r="I513" s="66" t="s">
        <v>282</v>
      </c>
      <c r="J513" s="5" t="s">
        <v>1403</v>
      </c>
      <c r="K513" s="68" t="s">
        <v>1404</v>
      </c>
      <c r="L513" s="5" t="s">
        <v>679</v>
      </c>
      <c r="M513" s="53" t="s">
        <v>1813</v>
      </c>
      <c r="N513" s="54" t="s">
        <v>1814</v>
      </c>
      <c r="O513" s="1" t="s">
        <v>1815</v>
      </c>
      <c r="P513" s="67" t="s">
        <v>2039</v>
      </c>
      <c r="R513" s="90"/>
    </row>
    <row r="514" spans="1:18" ht="17">
      <c r="A514" s="3" t="s">
        <v>583</v>
      </c>
      <c r="B514" s="197" t="s">
        <v>6</v>
      </c>
      <c r="C514" s="3" t="s">
        <v>4</v>
      </c>
      <c r="D514" s="3" t="s">
        <v>5</v>
      </c>
      <c r="E514" s="3">
        <v>3</v>
      </c>
      <c r="F514" s="279" t="s">
        <v>175</v>
      </c>
      <c r="G514" s="3" t="s">
        <v>8</v>
      </c>
      <c r="H514" s="5" t="s">
        <v>1405</v>
      </c>
      <c r="I514" s="133" t="s">
        <v>970</v>
      </c>
      <c r="J514" s="5" t="s">
        <v>1406</v>
      </c>
      <c r="K514" s="66" t="s">
        <v>1407</v>
      </c>
      <c r="L514" s="5" t="s">
        <v>679</v>
      </c>
      <c r="M514" s="53" t="s">
        <v>1813</v>
      </c>
      <c r="N514" s="54" t="s">
        <v>1814</v>
      </c>
      <c r="O514" s="1" t="s">
        <v>1815</v>
      </c>
      <c r="P514" s="66" t="s">
        <v>2040</v>
      </c>
      <c r="R514" s="136"/>
    </row>
    <row r="515" spans="1:18" ht="17">
      <c r="A515" s="3" t="s">
        <v>583</v>
      </c>
      <c r="B515" s="197" t="s">
        <v>6</v>
      </c>
      <c r="C515" s="3" t="s">
        <v>4</v>
      </c>
      <c r="D515" s="3" t="s">
        <v>5</v>
      </c>
      <c r="E515" s="3">
        <v>3</v>
      </c>
      <c r="F515" s="279" t="s">
        <v>175</v>
      </c>
      <c r="G515" s="3" t="s">
        <v>9</v>
      </c>
      <c r="H515" s="53">
        <v>13190184</v>
      </c>
      <c r="I515" s="84" t="s">
        <v>1142</v>
      </c>
      <c r="J515" s="53" t="s">
        <v>1816</v>
      </c>
      <c r="K515" s="68" t="s">
        <v>1817</v>
      </c>
      <c r="L515" s="5" t="s">
        <v>1818</v>
      </c>
      <c r="M515" s="53" t="s">
        <v>1813</v>
      </c>
      <c r="N515" s="54" t="s">
        <v>1814</v>
      </c>
      <c r="O515" s="1" t="s">
        <v>1815</v>
      </c>
      <c r="P515" s="5"/>
      <c r="R515" s="74"/>
    </row>
    <row r="516" spans="1:18" ht="17">
      <c r="A516" s="3" t="s">
        <v>583</v>
      </c>
      <c r="B516" s="197" t="s">
        <v>6</v>
      </c>
      <c r="C516" s="3" t="s">
        <v>4</v>
      </c>
      <c r="D516" s="3" t="s">
        <v>5</v>
      </c>
      <c r="E516" s="3">
        <v>3</v>
      </c>
      <c r="F516" s="279" t="s">
        <v>175</v>
      </c>
      <c r="G516" s="3" t="s">
        <v>10</v>
      </c>
      <c r="H516" s="5" t="s">
        <v>1408</v>
      </c>
      <c r="I516" s="133" t="s">
        <v>272</v>
      </c>
      <c r="J516" s="5" t="s">
        <v>1409</v>
      </c>
      <c r="K516" s="66" t="s">
        <v>1410</v>
      </c>
      <c r="L516" s="5" t="s">
        <v>1904</v>
      </c>
      <c r="M516" s="53" t="s">
        <v>1813</v>
      </c>
      <c r="N516" s="54" t="s">
        <v>1814</v>
      </c>
      <c r="O516" s="1" t="s">
        <v>1815</v>
      </c>
      <c r="P516" s="66" t="s">
        <v>2041</v>
      </c>
      <c r="R516" s="136"/>
    </row>
    <row r="517" spans="1:18" ht="17">
      <c r="A517" s="3" t="s">
        <v>583</v>
      </c>
      <c r="B517" s="197" t="s">
        <v>6</v>
      </c>
      <c r="C517" s="3" t="s">
        <v>4</v>
      </c>
      <c r="D517" s="3" t="s">
        <v>5</v>
      </c>
      <c r="E517" s="3">
        <v>3</v>
      </c>
      <c r="F517" s="279" t="s">
        <v>176</v>
      </c>
      <c r="G517" s="3" t="s">
        <v>8</v>
      </c>
      <c r="H517" s="5" t="s">
        <v>1411</v>
      </c>
      <c r="I517" s="66" t="s">
        <v>272</v>
      </c>
      <c r="J517" s="5" t="s">
        <v>1412</v>
      </c>
      <c r="K517" s="68" t="s">
        <v>1413</v>
      </c>
      <c r="L517" s="5" t="s">
        <v>1904</v>
      </c>
      <c r="M517" s="53" t="s">
        <v>1813</v>
      </c>
      <c r="N517" s="54" t="s">
        <v>1814</v>
      </c>
      <c r="O517" s="1" t="s">
        <v>1815</v>
      </c>
      <c r="P517" s="67" t="s">
        <v>2042</v>
      </c>
      <c r="R517" s="90"/>
    </row>
    <row r="518" spans="1:18" ht="17">
      <c r="A518" s="3" t="s">
        <v>583</v>
      </c>
      <c r="B518" s="197" t="s">
        <v>6</v>
      </c>
      <c r="C518" s="3" t="s">
        <v>4</v>
      </c>
      <c r="D518" s="3" t="s">
        <v>5</v>
      </c>
      <c r="E518" s="3">
        <v>3</v>
      </c>
      <c r="F518" s="279" t="s">
        <v>176</v>
      </c>
      <c r="G518" s="3" t="s">
        <v>9</v>
      </c>
      <c r="H518" s="5" t="s">
        <v>1414</v>
      </c>
      <c r="I518" s="66" t="s">
        <v>916</v>
      </c>
      <c r="J518" s="5" t="s">
        <v>1415</v>
      </c>
      <c r="K518" s="68" t="s">
        <v>1416</v>
      </c>
      <c r="L518" s="5" t="s">
        <v>1904</v>
      </c>
      <c r="M518" s="53" t="s">
        <v>1813</v>
      </c>
      <c r="N518" s="54" t="s">
        <v>1814</v>
      </c>
      <c r="O518" s="1" t="s">
        <v>1815</v>
      </c>
      <c r="P518" s="67" t="s">
        <v>2043</v>
      </c>
      <c r="R518" s="90"/>
    </row>
    <row r="519" spans="1:18" ht="17">
      <c r="A519" s="3" t="s">
        <v>583</v>
      </c>
      <c r="B519" s="197" t="s">
        <v>6</v>
      </c>
      <c r="C519" s="3" t="s">
        <v>4</v>
      </c>
      <c r="D519" s="3" t="s">
        <v>5</v>
      </c>
      <c r="E519" s="3">
        <v>3</v>
      </c>
      <c r="F519" s="279" t="s">
        <v>176</v>
      </c>
      <c r="G519" s="3" t="s">
        <v>10</v>
      </c>
      <c r="H519" s="5" t="s">
        <v>1417</v>
      </c>
      <c r="I519" s="66" t="s">
        <v>290</v>
      </c>
      <c r="J519" s="5" t="s">
        <v>1418</v>
      </c>
      <c r="K519" s="68" t="s">
        <v>1419</v>
      </c>
      <c r="L519" s="5" t="s">
        <v>1904</v>
      </c>
      <c r="M519" s="53" t="s">
        <v>1813</v>
      </c>
      <c r="N519" s="54" t="s">
        <v>1814</v>
      </c>
      <c r="O519" s="1" t="s">
        <v>1815</v>
      </c>
      <c r="P519" s="67" t="s">
        <v>2044</v>
      </c>
      <c r="R519" s="90"/>
    </row>
    <row r="520" spans="1:18" ht="17">
      <c r="A520" s="3" t="s">
        <v>583</v>
      </c>
      <c r="B520" s="197" t="s">
        <v>6</v>
      </c>
      <c r="C520" s="3" t="s">
        <v>4</v>
      </c>
      <c r="D520" s="3" t="s">
        <v>5</v>
      </c>
      <c r="E520" s="3">
        <v>3</v>
      </c>
      <c r="F520" s="279" t="s">
        <v>177</v>
      </c>
      <c r="G520" s="3" t="s">
        <v>8</v>
      </c>
      <c r="H520" s="5" t="s">
        <v>280</v>
      </c>
      <c r="I520" s="66" t="s">
        <v>1420</v>
      </c>
      <c r="J520" s="5" t="s">
        <v>240</v>
      </c>
      <c r="K520" s="81" t="s">
        <v>1819</v>
      </c>
      <c r="L520" s="5" t="s">
        <v>1904</v>
      </c>
      <c r="M520" s="53" t="s">
        <v>1813</v>
      </c>
      <c r="N520" s="54" t="s">
        <v>1814</v>
      </c>
      <c r="O520" s="1" t="s">
        <v>1815</v>
      </c>
      <c r="P520" s="5"/>
    </row>
    <row r="521" spans="1:18" ht="17">
      <c r="A521" s="3" t="s">
        <v>583</v>
      </c>
      <c r="B521" s="197" t="s">
        <v>6</v>
      </c>
      <c r="C521" s="3" t="s">
        <v>4</v>
      </c>
      <c r="D521" s="3" t="s">
        <v>5</v>
      </c>
      <c r="E521" s="3">
        <v>3</v>
      </c>
      <c r="F521" s="279" t="s">
        <v>177</v>
      </c>
      <c r="G521" s="3" t="s">
        <v>9</v>
      </c>
      <c r="H521" s="6">
        <v>12130402</v>
      </c>
      <c r="I521" s="73" t="s">
        <v>551</v>
      </c>
      <c r="J521" s="6" t="s">
        <v>381</v>
      </c>
      <c r="K521" s="66" t="s">
        <v>1820</v>
      </c>
      <c r="L521" s="5" t="s">
        <v>1904</v>
      </c>
      <c r="M521" s="53" t="s">
        <v>1813</v>
      </c>
      <c r="N521" s="54" t="s">
        <v>1814</v>
      </c>
      <c r="O521" s="1" t="s">
        <v>1815</v>
      </c>
      <c r="P521" s="181"/>
    </row>
    <row r="522" spans="1:18" ht="17">
      <c r="A522" s="3" t="s">
        <v>583</v>
      </c>
      <c r="B522" s="197" t="s">
        <v>6</v>
      </c>
      <c r="C522" s="3" t="s">
        <v>4</v>
      </c>
      <c r="D522" s="3" t="s">
        <v>5</v>
      </c>
      <c r="E522" s="3">
        <v>3</v>
      </c>
      <c r="F522" s="279" t="s">
        <v>177</v>
      </c>
      <c r="G522" s="3" t="s">
        <v>10</v>
      </c>
      <c r="H522" s="5" t="s">
        <v>1821</v>
      </c>
      <c r="I522" s="66" t="s">
        <v>1420</v>
      </c>
      <c r="J522" s="5" t="s">
        <v>235</v>
      </c>
      <c r="K522" s="81" t="s">
        <v>1822</v>
      </c>
      <c r="L522" s="5" t="s">
        <v>1904</v>
      </c>
      <c r="M522" s="53" t="s">
        <v>1813</v>
      </c>
      <c r="N522" s="54" t="s">
        <v>1814</v>
      </c>
      <c r="O522" s="1" t="s">
        <v>1815</v>
      </c>
      <c r="P522" s="1"/>
    </row>
    <row r="523" spans="1:18" ht="17">
      <c r="A523" s="3" t="s">
        <v>583</v>
      </c>
      <c r="B523" s="197" t="s">
        <v>6</v>
      </c>
      <c r="C523" s="3" t="s">
        <v>4</v>
      </c>
      <c r="D523" s="3" t="s">
        <v>5</v>
      </c>
      <c r="E523" s="3">
        <v>3</v>
      </c>
      <c r="F523" s="279" t="s">
        <v>178</v>
      </c>
      <c r="G523" s="3" t="s">
        <v>8</v>
      </c>
      <c r="H523" s="276" t="s">
        <v>1823</v>
      </c>
      <c r="I523" s="277" t="s">
        <v>1824</v>
      </c>
      <c r="J523" s="322" t="s">
        <v>1825</v>
      </c>
      <c r="K523" s="67" t="s">
        <v>1826</v>
      </c>
      <c r="L523" s="5" t="s">
        <v>1904</v>
      </c>
      <c r="M523" s="321" t="s">
        <v>599</v>
      </c>
      <c r="N523" s="54" t="s">
        <v>1814</v>
      </c>
      <c r="O523" s="1" t="s">
        <v>1815</v>
      </c>
      <c r="P523" s="318" t="s">
        <v>1873</v>
      </c>
    </row>
    <row r="524" spans="1:18" s="289" customFormat="1" ht="19.5" customHeight="1">
      <c r="A524" s="3" t="s">
        <v>583</v>
      </c>
      <c r="B524" s="197" t="s">
        <v>6</v>
      </c>
      <c r="C524" s="3" t="s">
        <v>4</v>
      </c>
      <c r="D524" s="3" t="s">
        <v>5</v>
      </c>
      <c r="E524" s="3">
        <v>3</v>
      </c>
      <c r="F524" s="279" t="s">
        <v>178</v>
      </c>
      <c r="G524" s="3" t="s">
        <v>9</v>
      </c>
      <c r="H524" s="5" t="s">
        <v>1827</v>
      </c>
      <c r="I524" s="5" t="s">
        <v>992</v>
      </c>
      <c r="J524" s="5" t="s">
        <v>382</v>
      </c>
      <c r="K524" s="5" t="s">
        <v>1828</v>
      </c>
      <c r="L524" s="5" t="s">
        <v>1818</v>
      </c>
      <c r="M524" s="6" t="s">
        <v>1813</v>
      </c>
      <c r="N524" s="6" t="s">
        <v>1814</v>
      </c>
      <c r="O524" s="1" t="s">
        <v>1815</v>
      </c>
      <c r="P524" s="1"/>
      <c r="Q524" s="119"/>
    </row>
    <row r="525" spans="1:18" ht="17">
      <c r="A525" s="3" t="s">
        <v>583</v>
      </c>
      <c r="B525" s="197" t="s">
        <v>6</v>
      </c>
      <c r="C525" s="3" t="s">
        <v>4</v>
      </c>
      <c r="D525" s="3" t="s">
        <v>5</v>
      </c>
      <c r="E525" s="3">
        <v>3</v>
      </c>
      <c r="F525" s="279" t="s">
        <v>178</v>
      </c>
      <c r="G525" s="3" t="s">
        <v>10</v>
      </c>
      <c r="H525" s="5" t="s">
        <v>1829</v>
      </c>
      <c r="I525" s="66" t="s">
        <v>1830</v>
      </c>
      <c r="J525" s="5" t="s">
        <v>383</v>
      </c>
      <c r="K525" s="66" t="s">
        <v>1831</v>
      </c>
      <c r="L525" s="5" t="s">
        <v>1818</v>
      </c>
      <c r="M525" s="53" t="s">
        <v>1813</v>
      </c>
      <c r="N525" s="54" t="s">
        <v>1814</v>
      </c>
      <c r="O525" s="1" t="s">
        <v>1815</v>
      </c>
      <c r="P525" s="1"/>
    </row>
    <row r="526" spans="1:18" ht="17">
      <c r="A526" s="3" t="s">
        <v>583</v>
      </c>
      <c r="B526" s="197" t="s">
        <v>6</v>
      </c>
      <c r="C526" s="3" t="s">
        <v>4</v>
      </c>
      <c r="D526" s="3" t="s">
        <v>5</v>
      </c>
      <c r="E526" s="3">
        <v>3</v>
      </c>
      <c r="F526" s="279" t="s">
        <v>179</v>
      </c>
      <c r="G526" s="3" t="s">
        <v>8</v>
      </c>
      <c r="H526" s="69" t="s">
        <v>1421</v>
      </c>
      <c r="I526" s="133" t="s">
        <v>1832</v>
      </c>
      <c r="J526" s="69" t="s">
        <v>1422</v>
      </c>
      <c r="K526" s="66" t="s">
        <v>1906</v>
      </c>
      <c r="L526" s="5" t="s">
        <v>1818</v>
      </c>
      <c r="M526" s="53" t="s">
        <v>1813</v>
      </c>
      <c r="N526" s="54" t="s">
        <v>1814</v>
      </c>
      <c r="O526" s="1" t="s">
        <v>1815</v>
      </c>
      <c r="P526" s="230"/>
    </row>
    <row r="527" spans="1:18" ht="17">
      <c r="A527" s="3" t="s">
        <v>583</v>
      </c>
      <c r="B527" s="197" t="s">
        <v>6</v>
      </c>
      <c r="C527" s="3" t="s">
        <v>4</v>
      </c>
      <c r="D527" s="3" t="s">
        <v>5</v>
      </c>
      <c r="E527" s="3">
        <v>3</v>
      </c>
      <c r="F527" s="279" t="s">
        <v>179</v>
      </c>
      <c r="G527" s="3" t="s">
        <v>9</v>
      </c>
      <c r="H527" s="6">
        <v>11040210</v>
      </c>
      <c r="I527" s="73" t="s">
        <v>481</v>
      </c>
      <c r="J527" s="6" t="s">
        <v>1833</v>
      </c>
      <c r="K527" s="66" t="s">
        <v>1834</v>
      </c>
      <c r="L527" s="5" t="s">
        <v>1818</v>
      </c>
      <c r="M527" s="53" t="s">
        <v>1813</v>
      </c>
      <c r="N527" s="54" t="s">
        <v>1814</v>
      </c>
      <c r="O527" s="1" t="s">
        <v>1815</v>
      </c>
      <c r="P527" s="93"/>
    </row>
    <row r="528" spans="1:18" ht="17">
      <c r="A528" s="3" t="s">
        <v>583</v>
      </c>
      <c r="B528" s="197" t="s">
        <v>6</v>
      </c>
      <c r="C528" s="3" t="s">
        <v>4</v>
      </c>
      <c r="D528" s="3" t="s">
        <v>5</v>
      </c>
      <c r="E528" s="3" t="s">
        <v>229</v>
      </c>
      <c r="F528" s="279" t="s">
        <v>179</v>
      </c>
      <c r="G528" s="3" t="s">
        <v>10</v>
      </c>
      <c r="H528" s="5" t="s">
        <v>281</v>
      </c>
      <c r="I528" s="66" t="s">
        <v>1423</v>
      </c>
      <c r="J528" s="5" t="s">
        <v>238</v>
      </c>
      <c r="K528" s="81" t="s">
        <v>1835</v>
      </c>
      <c r="L528" s="5" t="s">
        <v>1818</v>
      </c>
      <c r="M528" s="53" t="s">
        <v>1813</v>
      </c>
      <c r="N528" s="54" t="s">
        <v>1814</v>
      </c>
      <c r="O528" s="1" t="s">
        <v>1815</v>
      </c>
      <c r="P528" s="1"/>
    </row>
    <row r="529" spans="1:18">
      <c r="A529" s="3"/>
      <c r="B529" s="197"/>
      <c r="C529" s="3"/>
      <c r="D529" s="3"/>
      <c r="E529" s="3"/>
      <c r="F529" s="279"/>
      <c r="G529" s="3"/>
      <c r="H529" s="6"/>
      <c r="I529" s="73"/>
      <c r="J529" s="5"/>
      <c r="K529" s="5"/>
      <c r="L529" s="6"/>
      <c r="M529" s="5"/>
      <c r="N529" s="53"/>
      <c r="O529" s="53"/>
      <c r="P529" s="1"/>
    </row>
    <row r="530" spans="1:18">
      <c r="A530" s="3"/>
      <c r="B530" s="197"/>
      <c r="C530" s="3"/>
      <c r="D530" s="3"/>
      <c r="E530" s="3"/>
      <c r="F530" s="279"/>
      <c r="G530" s="3"/>
      <c r="H530" s="6"/>
      <c r="I530" s="84"/>
      <c r="J530" s="6"/>
      <c r="K530" s="5"/>
      <c r="L530" s="5"/>
      <c r="M530" s="5"/>
      <c r="N530" s="53"/>
      <c r="O530" s="53"/>
      <c r="P530" s="1"/>
    </row>
    <row r="531" spans="1:18">
      <c r="A531" s="3"/>
      <c r="B531" s="197"/>
      <c r="C531" s="3"/>
      <c r="D531" s="3"/>
      <c r="E531" s="3"/>
      <c r="F531" s="279"/>
      <c r="G531" s="3"/>
      <c r="H531" s="5"/>
      <c r="I531" s="66"/>
      <c r="J531" s="5"/>
      <c r="K531" s="63"/>
      <c r="L531" s="6"/>
      <c r="M531" s="5"/>
      <c r="N531" s="53"/>
      <c r="O531" s="53"/>
      <c r="P531" s="1"/>
    </row>
    <row r="532" spans="1:18" ht="17">
      <c r="A532" s="3" t="s">
        <v>583</v>
      </c>
      <c r="B532" s="197" t="s">
        <v>6</v>
      </c>
      <c r="C532" s="3" t="s">
        <v>230</v>
      </c>
      <c r="D532" s="3" t="s">
        <v>5</v>
      </c>
      <c r="E532" s="3">
        <v>3</v>
      </c>
      <c r="F532" s="279" t="s">
        <v>180</v>
      </c>
      <c r="G532" s="3" t="s">
        <v>8</v>
      </c>
      <c r="H532" s="5" t="s">
        <v>1424</v>
      </c>
      <c r="I532" s="66" t="s">
        <v>272</v>
      </c>
      <c r="J532" s="5" t="s">
        <v>1425</v>
      </c>
      <c r="K532" s="68" t="s">
        <v>1426</v>
      </c>
      <c r="L532" s="5" t="s">
        <v>1904</v>
      </c>
      <c r="M532" s="53" t="s">
        <v>1836</v>
      </c>
      <c r="N532" s="54" t="s">
        <v>1837</v>
      </c>
      <c r="O532" s="1" t="s">
        <v>1838</v>
      </c>
      <c r="P532" s="67" t="s">
        <v>2045</v>
      </c>
      <c r="R532" s="90"/>
    </row>
    <row r="533" spans="1:18" ht="17">
      <c r="A533" s="3" t="s">
        <v>583</v>
      </c>
      <c r="B533" s="197" t="s">
        <v>6</v>
      </c>
      <c r="C533" s="3" t="s">
        <v>4</v>
      </c>
      <c r="D533" s="3" t="s">
        <v>5</v>
      </c>
      <c r="E533" s="3">
        <v>3</v>
      </c>
      <c r="F533" s="279" t="s">
        <v>180</v>
      </c>
      <c r="G533" s="3" t="s">
        <v>9</v>
      </c>
      <c r="H533" s="5" t="s">
        <v>1427</v>
      </c>
      <c r="I533" s="66" t="s">
        <v>1001</v>
      </c>
      <c r="J533" s="5" t="s">
        <v>1428</v>
      </c>
      <c r="K533" s="68" t="s">
        <v>1429</v>
      </c>
      <c r="L533" s="5" t="s">
        <v>1904</v>
      </c>
      <c r="M533" s="53" t="s">
        <v>1836</v>
      </c>
      <c r="N533" s="54" t="s">
        <v>1837</v>
      </c>
      <c r="O533" s="1" t="s">
        <v>1838</v>
      </c>
      <c r="P533" s="67" t="s">
        <v>2046</v>
      </c>
      <c r="R533" s="90"/>
    </row>
    <row r="534" spans="1:18" ht="17">
      <c r="A534" s="3" t="s">
        <v>583</v>
      </c>
      <c r="B534" s="197" t="s">
        <v>6</v>
      </c>
      <c r="C534" s="3" t="s">
        <v>4</v>
      </c>
      <c r="D534" s="3" t="s">
        <v>5</v>
      </c>
      <c r="E534" s="3">
        <v>3</v>
      </c>
      <c r="F534" s="279" t="s">
        <v>180</v>
      </c>
      <c r="G534" s="3" t="s">
        <v>10</v>
      </c>
      <c r="H534" s="5" t="s">
        <v>1430</v>
      </c>
      <c r="I534" s="66" t="s">
        <v>1279</v>
      </c>
      <c r="J534" s="5" t="s">
        <v>1431</v>
      </c>
      <c r="K534" s="68" t="s">
        <v>1432</v>
      </c>
      <c r="L534" s="5" t="s">
        <v>1904</v>
      </c>
      <c r="M534" s="53" t="s">
        <v>1836</v>
      </c>
      <c r="N534" s="54" t="s">
        <v>1837</v>
      </c>
      <c r="O534" s="1" t="s">
        <v>1838</v>
      </c>
      <c r="P534" s="67" t="s">
        <v>2047</v>
      </c>
      <c r="R534" s="90"/>
    </row>
    <row r="535" spans="1:18" ht="17">
      <c r="A535" s="3" t="s">
        <v>583</v>
      </c>
      <c r="B535" s="197" t="s">
        <v>6</v>
      </c>
      <c r="C535" s="3" t="s">
        <v>4</v>
      </c>
      <c r="D535" s="3" t="s">
        <v>5</v>
      </c>
      <c r="E535" s="3">
        <v>3</v>
      </c>
      <c r="F535" s="279" t="s">
        <v>181</v>
      </c>
      <c r="G535" s="3" t="s">
        <v>8</v>
      </c>
      <c r="H535" s="6">
        <v>12210396</v>
      </c>
      <c r="I535" s="73" t="s">
        <v>548</v>
      </c>
      <c r="J535" s="6" t="s">
        <v>557</v>
      </c>
      <c r="K535" s="66" t="s">
        <v>1839</v>
      </c>
      <c r="L535" s="5" t="s">
        <v>1840</v>
      </c>
      <c r="M535" s="53" t="s">
        <v>1836</v>
      </c>
      <c r="N535" s="54" t="s">
        <v>1837</v>
      </c>
      <c r="O535" s="1" t="s">
        <v>1838</v>
      </c>
      <c r="P535" s="5"/>
      <c r="R535" s="74"/>
    </row>
    <row r="536" spans="1:18" ht="17">
      <c r="A536" s="3" t="s">
        <v>583</v>
      </c>
      <c r="B536" s="197" t="s">
        <v>6</v>
      </c>
      <c r="C536" s="3" t="s">
        <v>4</v>
      </c>
      <c r="D536" s="3" t="s">
        <v>5</v>
      </c>
      <c r="E536" s="3">
        <v>3</v>
      </c>
      <c r="F536" s="279" t="s">
        <v>181</v>
      </c>
      <c r="G536" s="3" t="s">
        <v>9</v>
      </c>
      <c r="H536" s="5" t="s">
        <v>284</v>
      </c>
      <c r="I536" s="66" t="s">
        <v>558</v>
      </c>
      <c r="J536" s="5" t="s">
        <v>243</v>
      </c>
      <c r="K536" s="81" t="s">
        <v>1841</v>
      </c>
      <c r="L536" s="5" t="s">
        <v>1840</v>
      </c>
      <c r="M536" s="53" t="s">
        <v>1836</v>
      </c>
      <c r="N536" s="54" t="s">
        <v>1837</v>
      </c>
      <c r="O536" s="1" t="s">
        <v>1838</v>
      </c>
      <c r="P536" s="5"/>
      <c r="R536" s="74"/>
    </row>
    <row r="537" spans="1:18" ht="17">
      <c r="A537" s="3" t="s">
        <v>583</v>
      </c>
      <c r="B537" s="197" t="s">
        <v>6</v>
      </c>
      <c r="C537" s="3" t="s">
        <v>4</v>
      </c>
      <c r="D537" s="3" t="s">
        <v>5</v>
      </c>
      <c r="E537" s="3">
        <v>3</v>
      </c>
      <c r="F537" s="279" t="s">
        <v>181</v>
      </c>
      <c r="G537" s="3" t="s">
        <v>10</v>
      </c>
      <c r="H537" s="69" t="s">
        <v>1433</v>
      </c>
      <c r="I537" s="133" t="s">
        <v>1434</v>
      </c>
      <c r="J537" s="69" t="s">
        <v>1435</v>
      </c>
      <c r="K537" s="66" t="s">
        <v>1914</v>
      </c>
      <c r="L537" s="5" t="s">
        <v>1904</v>
      </c>
      <c r="M537" s="53" t="s">
        <v>1836</v>
      </c>
      <c r="N537" s="54" t="s">
        <v>1837</v>
      </c>
      <c r="O537" s="1" t="s">
        <v>1838</v>
      </c>
      <c r="P537" s="5"/>
      <c r="R537" s="74"/>
    </row>
    <row r="538" spans="1:18" ht="17">
      <c r="A538" s="3" t="s">
        <v>583</v>
      </c>
      <c r="B538" s="197" t="s">
        <v>6</v>
      </c>
      <c r="C538" s="3" t="s">
        <v>4</v>
      </c>
      <c r="D538" s="3" t="s">
        <v>5</v>
      </c>
      <c r="E538" s="3">
        <v>3</v>
      </c>
      <c r="F538" s="279" t="s">
        <v>182</v>
      </c>
      <c r="G538" s="3" t="s">
        <v>8</v>
      </c>
      <c r="H538" s="5" t="s">
        <v>1436</v>
      </c>
      <c r="I538" s="66" t="s">
        <v>290</v>
      </c>
      <c r="J538" s="5" t="s">
        <v>1437</v>
      </c>
      <c r="K538" s="68" t="s">
        <v>1438</v>
      </c>
      <c r="L538" s="5" t="s">
        <v>1904</v>
      </c>
      <c r="M538" s="53" t="s">
        <v>1836</v>
      </c>
      <c r="N538" s="54" t="s">
        <v>1837</v>
      </c>
      <c r="O538" s="1" t="s">
        <v>1838</v>
      </c>
      <c r="P538" s="67" t="s">
        <v>2048</v>
      </c>
      <c r="R538" s="90"/>
    </row>
    <row r="539" spans="1:18" ht="17">
      <c r="A539" s="3" t="s">
        <v>583</v>
      </c>
      <c r="B539" s="197" t="s">
        <v>6</v>
      </c>
      <c r="C539" s="3" t="s">
        <v>4</v>
      </c>
      <c r="D539" s="3" t="s">
        <v>5</v>
      </c>
      <c r="E539" s="3">
        <v>3</v>
      </c>
      <c r="F539" s="279" t="s">
        <v>182</v>
      </c>
      <c r="G539" s="3" t="s">
        <v>9</v>
      </c>
      <c r="H539" s="5" t="s">
        <v>1439</v>
      </c>
      <c r="I539" s="66" t="s">
        <v>262</v>
      </c>
      <c r="J539" s="5" t="s">
        <v>1440</v>
      </c>
      <c r="K539" s="68" t="s">
        <v>1441</v>
      </c>
      <c r="L539" s="5" t="s">
        <v>1904</v>
      </c>
      <c r="M539" s="53" t="s">
        <v>1836</v>
      </c>
      <c r="N539" s="54" t="s">
        <v>1837</v>
      </c>
      <c r="O539" s="1" t="s">
        <v>1838</v>
      </c>
      <c r="P539" s="67" t="s">
        <v>2049</v>
      </c>
      <c r="R539" s="90"/>
    </row>
    <row r="540" spans="1:18" ht="17">
      <c r="A540" s="3" t="s">
        <v>583</v>
      </c>
      <c r="B540" s="197" t="s">
        <v>6</v>
      </c>
      <c r="C540" s="3" t="s">
        <v>4</v>
      </c>
      <c r="D540" s="3" t="s">
        <v>5</v>
      </c>
      <c r="E540" s="3">
        <v>3</v>
      </c>
      <c r="F540" s="279" t="s">
        <v>182</v>
      </c>
      <c r="G540" s="3" t="s">
        <v>10</v>
      </c>
      <c r="H540" s="5" t="s">
        <v>1442</v>
      </c>
      <c r="I540" s="66" t="s">
        <v>1443</v>
      </c>
      <c r="J540" s="5" t="s">
        <v>1444</v>
      </c>
      <c r="K540" s="68" t="s">
        <v>1445</v>
      </c>
      <c r="L540" s="5" t="s">
        <v>1904</v>
      </c>
      <c r="M540" s="53" t="s">
        <v>1836</v>
      </c>
      <c r="N540" s="54" t="s">
        <v>1837</v>
      </c>
      <c r="O540" s="1" t="s">
        <v>1838</v>
      </c>
      <c r="P540" s="67"/>
      <c r="R540" s="90"/>
    </row>
    <row r="541" spans="1:18" ht="17">
      <c r="A541" s="3" t="s">
        <v>583</v>
      </c>
      <c r="B541" s="197" t="s">
        <v>6</v>
      </c>
      <c r="C541" s="3" t="s">
        <v>4</v>
      </c>
      <c r="D541" s="3" t="s">
        <v>5</v>
      </c>
      <c r="E541" s="3">
        <v>3</v>
      </c>
      <c r="F541" s="279" t="s">
        <v>183</v>
      </c>
      <c r="G541" s="3" t="s">
        <v>8</v>
      </c>
      <c r="H541" s="5" t="s">
        <v>285</v>
      </c>
      <c r="I541" s="66" t="s">
        <v>558</v>
      </c>
      <c r="J541" s="5" t="s">
        <v>246</v>
      </c>
      <c r="K541" s="81" t="s">
        <v>1842</v>
      </c>
      <c r="L541" s="5" t="s">
        <v>1904</v>
      </c>
      <c r="M541" s="53" t="s">
        <v>1836</v>
      </c>
      <c r="N541" s="54" t="s">
        <v>1837</v>
      </c>
      <c r="O541" s="1" t="s">
        <v>1838</v>
      </c>
      <c r="P541" s="5"/>
      <c r="R541" s="74"/>
    </row>
    <row r="542" spans="1:18" ht="17">
      <c r="A542" s="3" t="s">
        <v>583</v>
      </c>
      <c r="B542" s="197" t="s">
        <v>6</v>
      </c>
      <c r="C542" s="3" t="s">
        <v>4</v>
      </c>
      <c r="D542" s="3" t="s">
        <v>5</v>
      </c>
      <c r="E542" s="3">
        <v>3</v>
      </c>
      <c r="F542" s="279" t="s">
        <v>183</v>
      </c>
      <c r="G542" s="3" t="s">
        <v>9</v>
      </c>
      <c r="H542" s="5" t="s">
        <v>1446</v>
      </c>
      <c r="I542" s="133" t="s">
        <v>1030</v>
      </c>
      <c r="J542" s="5" t="s">
        <v>1447</v>
      </c>
      <c r="K542" s="66" t="s">
        <v>1448</v>
      </c>
      <c r="L542" s="5" t="s">
        <v>1904</v>
      </c>
      <c r="M542" s="79" t="s">
        <v>1836</v>
      </c>
      <c r="N542" s="54" t="s">
        <v>1837</v>
      </c>
      <c r="O542" s="1" t="s">
        <v>1838</v>
      </c>
      <c r="P542" s="66" t="s">
        <v>2050</v>
      </c>
      <c r="R542" s="136"/>
    </row>
    <row r="543" spans="1:18" ht="17">
      <c r="A543" s="3" t="s">
        <v>583</v>
      </c>
      <c r="B543" s="197" t="s">
        <v>6</v>
      </c>
      <c r="C543" s="3" t="s">
        <v>4</v>
      </c>
      <c r="D543" s="3" t="s">
        <v>5</v>
      </c>
      <c r="E543" s="3">
        <v>3</v>
      </c>
      <c r="F543" s="279" t="s">
        <v>183</v>
      </c>
      <c r="G543" s="3" t="s">
        <v>10</v>
      </c>
      <c r="H543" s="5" t="s">
        <v>1449</v>
      </c>
      <c r="I543" s="133" t="s">
        <v>1005</v>
      </c>
      <c r="J543" s="5" t="s">
        <v>1450</v>
      </c>
      <c r="K543" s="66" t="s">
        <v>1451</v>
      </c>
      <c r="L543" s="5" t="s">
        <v>1904</v>
      </c>
      <c r="M543" s="79" t="s">
        <v>1836</v>
      </c>
      <c r="N543" s="54" t="s">
        <v>1837</v>
      </c>
      <c r="O543" s="1" t="s">
        <v>1838</v>
      </c>
      <c r="P543" s="66" t="s">
        <v>2051</v>
      </c>
      <c r="R543" s="136"/>
    </row>
    <row r="544" spans="1:18" ht="17">
      <c r="A544" s="3" t="s">
        <v>583</v>
      </c>
      <c r="B544" s="197" t="s">
        <v>6</v>
      </c>
      <c r="C544" s="3" t="s">
        <v>4</v>
      </c>
      <c r="D544" s="3" t="s">
        <v>5</v>
      </c>
      <c r="E544" s="3">
        <v>3</v>
      </c>
      <c r="F544" s="279" t="s">
        <v>184</v>
      </c>
      <c r="G544" s="3" t="s">
        <v>8</v>
      </c>
      <c r="H544" s="65">
        <v>13391023</v>
      </c>
      <c r="I544" s="75" t="s">
        <v>1452</v>
      </c>
      <c r="J544" s="65" t="s">
        <v>1843</v>
      </c>
      <c r="K544" s="64" t="s">
        <v>1844</v>
      </c>
      <c r="L544" s="5" t="s">
        <v>679</v>
      </c>
      <c r="M544" s="53" t="s">
        <v>308</v>
      </c>
      <c r="N544" s="54" t="s">
        <v>396</v>
      </c>
      <c r="O544" s="1" t="s">
        <v>582</v>
      </c>
      <c r="P544" s="1"/>
      <c r="R544" s="148"/>
    </row>
    <row r="545" spans="1:18" ht="17">
      <c r="A545" s="3" t="s">
        <v>583</v>
      </c>
      <c r="B545" s="197" t="s">
        <v>6</v>
      </c>
      <c r="C545" s="3" t="s">
        <v>4</v>
      </c>
      <c r="D545" s="3" t="s">
        <v>5</v>
      </c>
      <c r="E545" s="3">
        <v>3</v>
      </c>
      <c r="F545" s="279" t="s">
        <v>184</v>
      </c>
      <c r="G545" s="3" t="s">
        <v>9</v>
      </c>
      <c r="H545" s="69" t="s">
        <v>1453</v>
      </c>
      <c r="I545" s="133" t="s">
        <v>397</v>
      </c>
      <c r="J545" s="69" t="s">
        <v>1454</v>
      </c>
      <c r="K545" s="66" t="s">
        <v>1907</v>
      </c>
      <c r="L545" s="5" t="s">
        <v>679</v>
      </c>
      <c r="M545" s="79" t="s">
        <v>308</v>
      </c>
      <c r="N545" s="54" t="s">
        <v>396</v>
      </c>
      <c r="O545" s="1" t="s">
        <v>582</v>
      </c>
      <c r="P545" s="230"/>
    </row>
    <row r="546" spans="1:18" ht="17">
      <c r="A546" s="3" t="s">
        <v>583</v>
      </c>
      <c r="B546" s="197" t="s">
        <v>6</v>
      </c>
      <c r="C546" s="3" t="s">
        <v>4</v>
      </c>
      <c r="D546" s="3" t="s">
        <v>5</v>
      </c>
      <c r="E546" s="3">
        <v>3</v>
      </c>
      <c r="F546" s="279" t="s">
        <v>184</v>
      </c>
      <c r="G546" s="3" t="s">
        <v>10</v>
      </c>
      <c r="H546" s="69" t="s">
        <v>1455</v>
      </c>
      <c r="I546" s="133" t="s">
        <v>472</v>
      </c>
      <c r="J546" s="69" t="s">
        <v>1456</v>
      </c>
      <c r="K546" s="66" t="s">
        <v>1908</v>
      </c>
      <c r="L546" s="5" t="s">
        <v>679</v>
      </c>
      <c r="M546" s="79" t="s">
        <v>308</v>
      </c>
      <c r="N546" s="54" t="s">
        <v>396</v>
      </c>
      <c r="O546" s="1" t="s">
        <v>582</v>
      </c>
      <c r="P546" s="230"/>
    </row>
    <row r="547" spans="1:18" ht="17">
      <c r="A547" s="3" t="s">
        <v>583</v>
      </c>
      <c r="B547" s="197" t="s">
        <v>6</v>
      </c>
      <c r="C547" s="3" t="s">
        <v>4</v>
      </c>
      <c r="D547" s="3" t="s">
        <v>5</v>
      </c>
      <c r="E547" s="3">
        <v>3</v>
      </c>
      <c r="F547" s="279" t="s">
        <v>185</v>
      </c>
      <c r="G547" s="3" t="s">
        <v>8</v>
      </c>
      <c r="H547" s="69" t="s">
        <v>1457</v>
      </c>
      <c r="I547" s="133" t="s">
        <v>416</v>
      </c>
      <c r="J547" s="69" t="s">
        <v>1458</v>
      </c>
      <c r="K547" s="66" t="s">
        <v>1909</v>
      </c>
      <c r="L547" s="5" t="s">
        <v>679</v>
      </c>
      <c r="M547" s="79" t="s">
        <v>308</v>
      </c>
      <c r="N547" s="54" t="s">
        <v>396</v>
      </c>
      <c r="O547" s="1" t="s">
        <v>582</v>
      </c>
      <c r="P547" s="12"/>
    </row>
    <row r="548" spans="1:18" ht="17">
      <c r="A548" s="3" t="s">
        <v>583</v>
      </c>
      <c r="B548" s="197" t="s">
        <v>6</v>
      </c>
      <c r="C548" s="3" t="s">
        <v>4</v>
      </c>
      <c r="D548" s="3" t="s">
        <v>5</v>
      </c>
      <c r="E548" s="3">
        <v>3</v>
      </c>
      <c r="F548" s="279" t="s">
        <v>185</v>
      </c>
      <c r="G548" s="3" t="s">
        <v>9</v>
      </c>
      <c r="H548" s="5" t="s">
        <v>1845</v>
      </c>
      <c r="I548" s="66" t="s">
        <v>1459</v>
      </c>
      <c r="J548" s="5" t="s">
        <v>248</v>
      </c>
      <c r="K548" s="66" t="s">
        <v>1846</v>
      </c>
      <c r="L548" s="5" t="s">
        <v>679</v>
      </c>
      <c r="M548" s="53" t="s">
        <v>308</v>
      </c>
      <c r="N548" s="54" t="s">
        <v>396</v>
      </c>
      <c r="O548" s="1" t="s">
        <v>582</v>
      </c>
      <c r="P548" s="1"/>
    </row>
    <row r="549" spans="1:18" ht="17">
      <c r="A549" s="3" t="s">
        <v>583</v>
      </c>
      <c r="B549" s="3" t="s">
        <v>6</v>
      </c>
      <c r="C549" s="3" t="s">
        <v>4</v>
      </c>
      <c r="D549" s="3" t="s">
        <v>5</v>
      </c>
      <c r="E549" s="3" t="s">
        <v>229</v>
      </c>
      <c r="F549" s="279" t="s">
        <v>185</v>
      </c>
      <c r="G549" s="3" t="s">
        <v>10</v>
      </c>
      <c r="H549" s="5" t="s">
        <v>286</v>
      </c>
      <c r="I549" s="66" t="s">
        <v>1459</v>
      </c>
      <c r="J549" s="5" t="s">
        <v>249</v>
      </c>
      <c r="K549" s="134" t="s">
        <v>303</v>
      </c>
      <c r="L549" s="5" t="s">
        <v>679</v>
      </c>
      <c r="M549" s="6" t="s">
        <v>308</v>
      </c>
      <c r="N549" s="54" t="s">
        <v>396</v>
      </c>
      <c r="O549" s="1" t="s">
        <v>582</v>
      </c>
      <c r="P549" s="1"/>
    </row>
    <row r="550" spans="1:18">
      <c r="A550" s="108"/>
      <c r="B550" s="108"/>
      <c r="C550" s="108"/>
      <c r="D550" s="108"/>
      <c r="E550" s="108"/>
      <c r="F550" s="285"/>
      <c r="G550" s="108"/>
      <c r="H550" s="168"/>
      <c r="I550" s="311"/>
      <c r="J550" s="111"/>
      <c r="K550" s="169"/>
      <c r="L550" s="170"/>
      <c r="M550" s="170"/>
      <c r="N550" s="171"/>
      <c r="O550" s="171"/>
      <c r="P550" s="148"/>
    </row>
    <row r="551" spans="1:18">
      <c r="A551" s="108"/>
      <c r="B551" s="108"/>
      <c r="C551" s="108"/>
      <c r="D551" s="108"/>
      <c r="E551" s="108"/>
      <c r="F551" s="285"/>
      <c r="G551" s="108"/>
      <c r="H551" s="172"/>
      <c r="I551" s="173"/>
      <c r="J551" s="174"/>
      <c r="K551" s="172"/>
      <c r="L551" s="169"/>
      <c r="M551" s="169"/>
      <c r="N551" s="175"/>
      <c r="O551" s="171"/>
      <c r="P551" s="148"/>
    </row>
    <row r="552" spans="1:18">
      <c r="A552" s="108"/>
      <c r="B552" s="108"/>
      <c r="C552" s="108"/>
      <c r="D552" s="108"/>
      <c r="E552" s="108"/>
      <c r="F552" s="285"/>
      <c r="G552" s="108"/>
      <c r="H552" s="168"/>
      <c r="I552" s="409"/>
      <c r="J552" s="409"/>
      <c r="K552" s="409"/>
      <c r="L552" s="409"/>
      <c r="M552" s="409"/>
      <c r="N552" s="409"/>
      <c r="O552" s="171"/>
      <c r="P552" s="148"/>
    </row>
    <row r="553" spans="1:18">
      <c r="A553" s="108"/>
      <c r="B553" s="108"/>
      <c r="C553" s="108"/>
      <c r="D553" s="108"/>
      <c r="E553" s="108"/>
      <c r="F553" s="285"/>
      <c r="G553" s="108"/>
      <c r="H553" s="47"/>
      <c r="I553" s="413" t="s">
        <v>1928</v>
      </c>
      <c r="J553" s="413"/>
      <c r="K553" s="413"/>
      <c r="L553" s="413"/>
      <c r="M553" s="413"/>
      <c r="N553" s="413"/>
      <c r="O553" s="335"/>
      <c r="P553" s="148"/>
    </row>
    <row r="554" spans="1:18" ht="17">
      <c r="A554" s="108"/>
      <c r="B554" s="108"/>
      <c r="C554" s="108"/>
      <c r="D554" s="108"/>
      <c r="E554" s="108"/>
      <c r="F554" s="285"/>
      <c r="G554" s="108"/>
      <c r="H554" s="176"/>
      <c r="I554" s="410" t="s">
        <v>589</v>
      </c>
      <c r="J554" s="410"/>
      <c r="K554" s="332" t="s">
        <v>590</v>
      </c>
      <c r="L554" s="333" t="s">
        <v>591</v>
      </c>
      <c r="M554" s="334" t="s">
        <v>597</v>
      </c>
      <c r="N554" s="334" t="s">
        <v>592</v>
      </c>
      <c r="O554" s="175"/>
      <c r="P554" s="148"/>
    </row>
    <row r="555" spans="1:18">
      <c r="A555" s="108"/>
      <c r="B555" s="108"/>
      <c r="C555" s="108"/>
      <c r="D555" s="108"/>
      <c r="E555" s="108"/>
      <c r="F555" s="285"/>
      <c r="G555" s="108"/>
      <c r="H555" s="47"/>
      <c r="I555" s="405" t="s">
        <v>593</v>
      </c>
      <c r="J555" s="405"/>
      <c r="K555" s="154">
        <v>241</v>
      </c>
      <c r="L555" s="154">
        <v>273</v>
      </c>
      <c r="M555" s="155">
        <f>SUM(K555:L555)</f>
        <v>514</v>
      </c>
      <c r="N555" s="19"/>
      <c r="O555" s="171"/>
      <c r="P555" s="148"/>
    </row>
    <row r="556" spans="1:18">
      <c r="A556" s="108"/>
      <c r="B556" s="108"/>
      <c r="C556" s="108"/>
      <c r="D556" s="108"/>
      <c r="E556" s="108"/>
      <c r="F556" s="285"/>
      <c r="G556" s="108"/>
      <c r="H556" s="47"/>
      <c r="I556" s="411" t="s">
        <v>685</v>
      </c>
      <c r="J556" s="412"/>
      <c r="K556" s="154">
        <v>177</v>
      </c>
      <c r="L556" s="154">
        <v>199</v>
      </c>
      <c r="M556" s="222">
        <f>SUM(K556:L556)</f>
        <v>376</v>
      </c>
      <c r="N556" s="19"/>
      <c r="O556" s="171"/>
      <c r="P556" s="148"/>
    </row>
    <row r="557" spans="1:18">
      <c r="A557" s="148"/>
      <c r="B557" s="148"/>
      <c r="C557" s="148"/>
      <c r="D557" s="148"/>
      <c r="E557" s="148"/>
      <c r="F557" s="285"/>
      <c r="G557" s="148"/>
      <c r="H557" s="168"/>
      <c r="I557" s="404" t="s">
        <v>594</v>
      </c>
      <c r="J557" s="404"/>
      <c r="K557" s="154">
        <v>13</v>
      </c>
      <c r="L557" s="154">
        <v>12</v>
      </c>
      <c r="M557" s="158">
        <f>SUM(K557:L557)</f>
        <v>25</v>
      </c>
      <c r="N557" s="19"/>
      <c r="O557" s="171"/>
      <c r="P557" s="148"/>
    </row>
    <row r="558" spans="1:18">
      <c r="A558" s="148"/>
      <c r="B558" s="148"/>
      <c r="C558" s="148"/>
      <c r="D558" s="148"/>
      <c r="E558" s="148"/>
      <c r="F558" s="285"/>
      <c r="G558" s="148"/>
      <c r="H558" s="47"/>
      <c r="I558" s="404" t="s">
        <v>683</v>
      </c>
      <c r="J558" s="404"/>
      <c r="K558" s="154">
        <v>32</v>
      </c>
      <c r="L558" s="154">
        <v>25</v>
      </c>
      <c r="M558" s="221">
        <f>SUM(K558:L558)</f>
        <v>57</v>
      </c>
      <c r="N558" s="140"/>
      <c r="O558" s="214"/>
      <c r="P558" s="148"/>
      <c r="Q558" s="229"/>
      <c r="R558" s="192"/>
    </row>
    <row r="559" spans="1:18">
      <c r="A559" s="148"/>
      <c r="B559" s="148"/>
      <c r="C559" s="148"/>
      <c r="D559" s="148"/>
      <c r="E559" s="148"/>
      <c r="F559" s="285"/>
      <c r="G559" s="148"/>
      <c r="H559" s="168"/>
      <c r="I559" s="404" t="s">
        <v>684</v>
      </c>
      <c r="J559" s="404"/>
      <c r="K559" s="154">
        <v>1</v>
      </c>
      <c r="L559" s="154">
        <v>1</v>
      </c>
      <c r="M559" s="179">
        <f>SUM(K559:L559)</f>
        <v>2</v>
      </c>
      <c r="N559" s="19"/>
      <c r="O559" s="171"/>
      <c r="P559" s="148"/>
      <c r="Q559" s="213"/>
    </row>
    <row r="560" spans="1:18">
      <c r="A560" s="148"/>
      <c r="B560" s="148"/>
      <c r="C560" s="148"/>
      <c r="D560" s="148"/>
      <c r="E560" s="148"/>
      <c r="F560" s="285"/>
      <c r="G560" s="148"/>
      <c r="H560" s="168"/>
      <c r="I560" s="406" t="s">
        <v>1870</v>
      </c>
      <c r="J560" s="407"/>
      <c r="K560" s="154">
        <v>17</v>
      </c>
      <c r="L560" s="154">
        <v>7</v>
      </c>
      <c r="M560" s="179">
        <v>24</v>
      </c>
      <c r="N560" s="19"/>
      <c r="O560" s="171"/>
      <c r="P560" s="148"/>
      <c r="Q560" s="213"/>
    </row>
    <row r="561" spans="1:17">
      <c r="A561" s="148"/>
      <c r="B561" s="148"/>
      <c r="C561" s="148"/>
      <c r="D561" s="148"/>
      <c r="E561" s="148"/>
      <c r="F561" s="285"/>
      <c r="G561" s="148"/>
      <c r="H561" s="168"/>
      <c r="I561" s="406" t="s">
        <v>1871</v>
      </c>
      <c r="J561" s="407"/>
      <c r="K561" s="154">
        <v>0</v>
      </c>
      <c r="L561" s="154">
        <v>17</v>
      </c>
      <c r="M561" s="179">
        <f>SUM(K561:L561)</f>
        <v>17</v>
      </c>
      <c r="N561" s="19"/>
      <c r="O561" s="171"/>
      <c r="P561" s="148"/>
      <c r="Q561" s="213"/>
    </row>
    <row r="562" spans="1:17">
      <c r="A562" s="148"/>
      <c r="B562" s="148"/>
      <c r="C562" s="148"/>
      <c r="D562" s="148"/>
      <c r="E562" s="148"/>
      <c r="F562" s="285"/>
      <c r="G562" s="148"/>
      <c r="H562" s="168"/>
      <c r="I562" s="404" t="s">
        <v>595</v>
      </c>
      <c r="J562" s="404"/>
      <c r="K562" s="154">
        <v>0</v>
      </c>
      <c r="L562" s="154">
        <v>6</v>
      </c>
      <c r="M562" s="158">
        <v>6</v>
      </c>
      <c r="N562" s="320" t="s">
        <v>1872</v>
      </c>
      <c r="O562" s="215"/>
      <c r="P562" s="148"/>
    </row>
    <row r="563" spans="1:17">
      <c r="A563" s="148"/>
      <c r="B563" s="148"/>
      <c r="C563" s="148"/>
      <c r="D563" s="148"/>
      <c r="E563" s="148"/>
      <c r="F563" s="285"/>
      <c r="G563" s="148"/>
      <c r="H563" s="168"/>
      <c r="I563" s="408" t="s">
        <v>686</v>
      </c>
      <c r="J563" s="408"/>
      <c r="K563" s="154">
        <v>1</v>
      </c>
      <c r="L563" s="154">
        <v>6</v>
      </c>
      <c r="M563" s="158">
        <v>7</v>
      </c>
      <c r="N563" s="320"/>
      <c r="O563" s="215"/>
      <c r="P563" s="148"/>
    </row>
    <row r="564" spans="1:17">
      <c r="A564" s="148"/>
      <c r="B564" s="148"/>
      <c r="C564" s="148"/>
      <c r="D564" s="148"/>
      <c r="E564" s="148"/>
      <c r="F564" s="285"/>
      <c r="G564" s="148"/>
      <c r="H564" s="168"/>
      <c r="I564" s="405" t="s">
        <v>596</v>
      </c>
      <c r="J564" s="405"/>
      <c r="K564" s="157">
        <f>SUM(K556:K563)</f>
        <v>241</v>
      </c>
      <c r="L564" s="157">
        <f>SUM(L556:L563)</f>
        <v>273</v>
      </c>
      <c r="M564" s="156">
        <f>SUM(M556:M563)</f>
        <v>514</v>
      </c>
      <c r="N564" s="19"/>
      <c r="O564" s="171"/>
      <c r="P564" s="148"/>
    </row>
    <row r="565" spans="1:17" ht="17">
      <c r="A565" s="148"/>
      <c r="B565" s="148"/>
      <c r="C565" s="148"/>
      <c r="D565" s="148"/>
      <c r="E565" s="148"/>
      <c r="F565" s="285"/>
      <c r="G565" s="148"/>
      <c r="H565" s="168"/>
      <c r="I565" s="159"/>
      <c r="J565" s="48"/>
      <c r="K565" s="160"/>
      <c r="L565" s="161" t="s">
        <v>2094</v>
      </c>
      <c r="M565" s="161" t="s">
        <v>682</v>
      </c>
      <c r="N565" s="162"/>
      <c r="O565" s="171"/>
      <c r="P565" s="148"/>
    </row>
    <row r="566" spans="1:17">
      <c r="A566" s="148"/>
      <c r="B566" s="148"/>
      <c r="C566" s="148"/>
      <c r="D566" s="148"/>
      <c r="E566" s="148"/>
      <c r="F566" s="285"/>
      <c r="G566" s="148"/>
      <c r="H566" s="168"/>
      <c r="I566" s="159"/>
      <c r="J566" s="47"/>
      <c r="K566" s="47"/>
      <c r="L566" s="161"/>
      <c r="M566" s="161"/>
      <c r="N566" s="162"/>
      <c r="O566" s="171"/>
      <c r="P566" s="148"/>
    </row>
    <row r="567" spans="1:17">
      <c r="A567" s="148"/>
      <c r="B567" s="148"/>
      <c r="C567" s="148"/>
      <c r="D567" s="148"/>
      <c r="E567" s="148"/>
      <c r="F567" s="285"/>
      <c r="G567" s="148"/>
      <c r="H567" s="172"/>
      <c r="I567" s="216"/>
      <c r="J567" s="169"/>
      <c r="K567" s="169"/>
      <c r="L567" s="169"/>
      <c r="M567" s="169"/>
      <c r="N567" s="175"/>
      <c r="O567" s="171"/>
      <c r="P567" s="148"/>
    </row>
    <row r="568" spans="1:17">
      <c r="A568" s="148"/>
      <c r="B568" s="148"/>
      <c r="C568" s="148"/>
      <c r="D568" s="148"/>
      <c r="E568" s="148"/>
      <c r="F568" s="285"/>
      <c r="G568" s="148"/>
      <c r="H568" s="217"/>
      <c r="I568" s="218"/>
      <c r="J568" s="217"/>
      <c r="K568" s="169"/>
      <c r="L568" s="172"/>
      <c r="M568" s="172"/>
      <c r="N568" s="174"/>
      <c r="O568" s="171"/>
      <c r="P568" s="148"/>
    </row>
    <row r="569" spans="1:17">
      <c r="A569" s="148"/>
      <c r="B569" s="148"/>
      <c r="C569" s="148"/>
      <c r="D569" s="148"/>
      <c r="E569" s="148"/>
      <c r="F569" s="285"/>
      <c r="G569" s="148"/>
      <c r="H569" s="217"/>
      <c r="I569" s="218"/>
      <c r="J569" s="219"/>
      <c r="K569" s="169"/>
      <c r="L569" s="169"/>
      <c r="M569" s="169"/>
      <c r="N569" s="175"/>
      <c r="O569" s="171"/>
      <c r="P569" s="148"/>
    </row>
    <row r="570" spans="1:17">
      <c r="A570" s="148"/>
      <c r="B570" s="148"/>
      <c r="C570" s="148"/>
      <c r="D570" s="148"/>
      <c r="E570" s="148"/>
      <c r="F570" s="285"/>
      <c r="G570" s="148"/>
      <c r="H570" s="217"/>
      <c r="I570" s="218"/>
      <c r="J570" s="217"/>
      <c r="K570" s="169"/>
      <c r="L570" s="169"/>
      <c r="M570" s="169"/>
      <c r="N570" s="175"/>
      <c r="O570" s="171"/>
      <c r="P570" s="148"/>
    </row>
    <row r="571" spans="1:17">
      <c r="A571" s="148"/>
      <c r="B571" s="148"/>
      <c r="C571" s="148"/>
      <c r="D571" s="148"/>
      <c r="E571" s="148"/>
      <c r="F571" s="285"/>
      <c r="G571" s="148"/>
      <c r="H571" s="170"/>
      <c r="I571" s="178"/>
      <c r="J571" s="220"/>
      <c r="K571" s="170"/>
      <c r="L571" s="169"/>
      <c r="M571" s="169"/>
      <c r="N571" s="175"/>
      <c r="O571" s="171"/>
      <c r="P571" s="148"/>
    </row>
    <row r="572" spans="1:17">
      <c r="A572" s="148"/>
      <c r="B572" s="148"/>
      <c r="C572" s="148"/>
      <c r="D572" s="148"/>
      <c r="E572" s="148"/>
      <c r="F572" s="285"/>
      <c r="G572" s="148"/>
      <c r="H572" s="170"/>
      <c r="I572" s="178"/>
      <c r="J572" s="220"/>
      <c r="K572" s="170"/>
      <c r="L572" s="169"/>
      <c r="M572" s="169"/>
      <c r="N572" s="175"/>
      <c r="O572" s="171"/>
      <c r="P572" s="148"/>
    </row>
    <row r="573" spans="1:17">
      <c r="A573" s="148"/>
      <c r="B573" s="148"/>
      <c r="C573" s="148"/>
      <c r="D573" s="148"/>
      <c r="E573" s="148"/>
      <c r="F573" s="285"/>
      <c r="G573" s="148"/>
      <c r="H573" s="170"/>
      <c r="I573" s="178"/>
      <c r="J573" s="220"/>
      <c r="K573" s="170"/>
      <c r="L573" s="170"/>
      <c r="M573" s="170"/>
      <c r="N573" s="171"/>
      <c r="O573" s="171"/>
      <c r="P573" s="148"/>
    </row>
    <row r="574" spans="1:17">
      <c r="A574" s="148"/>
      <c r="B574" s="148"/>
      <c r="C574" s="148"/>
      <c r="D574" s="148"/>
      <c r="E574" s="148"/>
      <c r="F574" s="285"/>
      <c r="G574" s="148"/>
      <c r="H574" s="170"/>
      <c r="I574" s="178"/>
      <c r="J574" s="220"/>
      <c r="K574" s="170"/>
      <c r="L574" s="170"/>
      <c r="M574" s="170"/>
      <c r="N574" s="171"/>
      <c r="O574" s="171"/>
      <c r="P574" s="148"/>
    </row>
    <row r="575" spans="1:17">
      <c r="A575" s="148"/>
      <c r="B575" s="148"/>
      <c r="C575" s="148"/>
      <c r="D575" s="148"/>
      <c r="E575" s="148"/>
      <c r="F575" s="285"/>
      <c r="G575" s="148"/>
      <c r="H575" s="170"/>
      <c r="I575" s="178"/>
      <c r="J575" s="220"/>
      <c r="K575" s="170"/>
      <c r="L575" s="170"/>
      <c r="M575" s="170"/>
      <c r="N575" s="171"/>
      <c r="O575" s="171"/>
      <c r="P575" s="148"/>
    </row>
    <row r="576" spans="1:17">
      <c r="A576" s="148"/>
      <c r="B576" s="148"/>
      <c r="C576" s="148"/>
      <c r="D576" s="148"/>
      <c r="E576" s="148"/>
      <c r="F576" s="285"/>
      <c r="G576" s="148"/>
      <c r="H576" s="170"/>
      <c r="I576" s="178"/>
      <c r="J576" s="220"/>
      <c r="K576" s="170"/>
      <c r="L576" s="170"/>
      <c r="M576" s="170"/>
      <c r="N576" s="171"/>
      <c r="O576" s="171"/>
      <c r="P576" s="148"/>
    </row>
    <row r="577" spans="1:16">
      <c r="A577" s="148"/>
      <c r="B577" s="148"/>
      <c r="C577" s="148"/>
      <c r="D577" s="148"/>
      <c r="E577" s="148"/>
      <c r="F577" s="285"/>
      <c r="G577" s="148"/>
      <c r="H577" s="170"/>
      <c r="I577" s="178"/>
      <c r="J577" s="220"/>
      <c r="K577" s="170"/>
      <c r="L577" s="170"/>
      <c r="M577" s="170"/>
      <c r="N577" s="171"/>
      <c r="O577" s="171"/>
      <c r="P577" s="148"/>
    </row>
    <row r="578" spans="1:16">
      <c r="A578" s="148"/>
      <c r="B578" s="148"/>
      <c r="C578" s="148"/>
      <c r="D578" s="148"/>
      <c r="E578" s="148"/>
      <c r="F578" s="285"/>
      <c r="G578" s="148"/>
      <c r="H578" s="170"/>
      <c r="I578" s="178"/>
      <c r="J578" s="220"/>
      <c r="K578" s="170"/>
      <c r="L578" s="170"/>
      <c r="M578" s="170"/>
      <c r="N578" s="171"/>
      <c r="O578" s="171"/>
      <c r="P578" s="148"/>
    </row>
    <row r="579" spans="1:16">
      <c r="A579" s="148"/>
      <c r="B579" s="148"/>
      <c r="C579" s="148"/>
      <c r="D579" s="148"/>
      <c r="E579" s="148"/>
      <c r="F579" s="285"/>
      <c r="G579" s="148"/>
      <c r="H579" s="170"/>
      <c r="I579" s="178"/>
      <c r="J579" s="220"/>
      <c r="K579" s="170"/>
      <c r="L579" s="170"/>
      <c r="M579" s="170"/>
      <c r="N579" s="171"/>
      <c r="O579" s="171"/>
      <c r="P579" s="148"/>
    </row>
    <row r="580" spans="1:16">
      <c r="A580" s="148"/>
      <c r="B580" s="148"/>
      <c r="C580" s="148"/>
      <c r="D580" s="148"/>
      <c r="E580" s="148"/>
      <c r="F580" s="285"/>
      <c r="G580" s="148"/>
      <c r="H580" s="170"/>
      <c r="I580" s="178"/>
      <c r="J580" s="220"/>
      <c r="K580" s="170"/>
      <c r="L580" s="170"/>
      <c r="M580" s="170"/>
      <c r="N580" s="171"/>
      <c r="O580" s="171"/>
      <c r="P580" s="148"/>
    </row>
    <row r="581" spans="1:16">
      <c r="A581" s="148"/>
      <c r="B581" s="148"/>
      <c r="C581" s="148"/>
      <c r="D581" s="148"/>
      <c r="E581" s="148"/>
      <c r="F581" s="285"/>
      <c r="G581" s="148"/>
      <c r="H581" s="170"/>
      <c r="I581" s="178"/>
      <c r="J581" s="220"/>
      <c r="K581" s="170"/>
      <c r="L581" s="170"/>
      <c r="M581" s="170"/>
      <c r="N581" s="171"/>
      <c r="O581" s="171"/>
      <c r="P581" s="148"/>
    </row>
    <row r="582" spans="1:16">
      <c r="A582" s="148"/>
      <c r="B582" s="148"/>
      <c r="C582" s="148"/>
      <c r="D582" s="148"/>
      <c r="E582" s="148"/>
      <c r="F582" s="285"/>
      <c r="G582" s="148"/>
      <c r="H582" s="170"/>
      <c r="I582" s="178"/>
      <c r="J582" s="220"/>
      <c r="K582" s="170"/>
      <c r="L582" s="170"/>
      <c r="M582" s="170"/>
      <c r="N582" s="171"/>
      <c r="O582" s="171"/>
      <c r="P582" s="148"/>
    </row>
    <row r="583" spans="1:16">
      <c r="A583" s="148"/>
      <c r="B583" s="148"/>
      <c r="C583" s="148"/>
      <c r="D583" s="148"/>
      <c r="E583" s="148"/>
      <c r="F583" s="285"/>
      <c r="G583" s="148"/>
      <c r="H583" s="170"/>
      <c r="I583" s="178"/>
      <c r="J583" s="220"/>
      <c r="K583" s="170"/>
      <c r="L583" s="170"/>
      <c r="M583" s="170"/>
      <c r="N583" s="171"/>
      <c r="O583" s="171"/>
      <c r="P583" s="148"/>
    </row>
    <row r="584" spans="1:16">
      <c r="A584" s="148"/>
      <c r="B584" s="148"/>
      <c r="C584" s="148"/>
      <c r="D584" s="148"/>
      <c r="E584" s="148"/>
      <c r="F584" s="285"/>
      <c r="G584" s="148"/>
      <c r="H584" s="170"/>
      <c r="I584" s="178"/>
      <c r="J584" s="220"/>
      <c r="K584" s="170"/>
      <c r="L584" s="170"/>
      <c r="M584" s="170"/>
      <c r="N584" s="171"/>
      <c r="O584" s="171"/>
      <c r="P584" s="148"/>
    </row>
    <row r="585" spans="1:16">
      <c r="A585" s="148"/>
      <c r="B585" s="148"/>
      <c r="C585" s="148"/>
      <c r="D585" s="148"/>
      <c r="E585" s="148"/>
      <c r="F585" s="285"/>
      <c r="G585" s="148"/>
      <c r="H585" s="170"/>
      <c r="I585" s="178"/>
      <c r="J585" s="220"/>
      <c r="K585" s="170"/>
      <c r="L585" s="170"/>
      <c r="M585" s="170"/>
      <c r="N585" s="171"/>
      <c r="O585" s="171"/>
      <c r="P585" s="148"/>
    </row>
    <row r="586" spans="1:16">
      <c r="A586" s="148"/>
      <c r="B586" s="148"/>
      <c r="C586" s="148"/>
      <c r="D586" s="148"/>
      <c r="E586" s="148"/>
      <c r="F586" s="285"/>
      <c r="G586" s="148"/>
      <c r="H586" s="170"/>
      <c r="I586" s="178"/>
      <c r="J586" s="220"/>
      <c r="K586" s="170"/>
      <c r="L586" s="170"/>
      <c r="M586" s="170"/>
      <c r="N586" s="171"/>
      <c r="O586" s="171"/>
      <c r="P586" s="148"/>
    </row>
    <row r="587" spans="1:16">
      <c r="A587" s="148"/>
      <c r="B587" s="148"/>
      <c r="C587" s="148"/>
      <c r="D587" s="148"/>
      <c r="E587" s="148"/>
      <c r="F587" s="285"/>
      <c r="G587" s="148"/>
      <c r="H587" s="170"/>
      <c r="I587" s="178"/>
      <c r="J587" s="220"/>
      <c r="K587" s="170"/>
      <c r="L587" s="170"/>
      <c r="M587" s="170"/>
      <c r="N587" s="171"/>
      <c r="O587" s="171"/>
      <c r="P587" s="148"/>
    </row>
    <row r="588" spans="1:16">
      <c r="A588" s="148"/>
      <c r="B588" s="148"/>
      <c r="C588" s="148"/>
      <c r="D588" s="148"/>
      <c r="E588" s="148"/>
      <c r="F588" s="285"/>
      <c r="G588" s="148"/>
      <c r="H588" s="170"/>
      <c r="I588" s="178"/>
      <c r="J588" s="220"/>
      <c r="K588" s="170"/>
      <c r="L588" s="170"/>
      <c r="M588" s="170"/>
      <c r="N588" s="171"/>
      <c r="O588" s="171"/>
      <c r="P588" s="148"/>
    </row>
    <row r="589" spans="1:16">
      <c r="A589" s="148"/>
      <c r="B589" s="148"/>
      <c r="C589" s="148"/>
      <c r="D589" s="148"/>
      <c r="E589" s="148"/>
      <c r="F589" s="285"/>
      <c r="G589" s="148"/>
      <c r="H589" s="170"/>
      <c r="I589" s="178"/>
      <c r="J589" s="177"/>
      <c r="K589" s="170"/>
      <c r="L589" s="170"/>
      <c r="M589" s="170"/>
      <c r="N589" s="171"/>
      <c r="O589" s="171"/>
      <c r="P589" s="148"/>
    </row>
    <row r="590" spans="1:16">
      <c r="A590" s="148"/>
      <c r="B590" s="148"/>
      <c r="C590" s="148"/>
      <c r="D590" s="148"/>
      <c r="E590" s="148"/>
      <c r="F590" s="285"/>
      <c r="G590" s="148"/>
      <c r="H590" s="170"/>
      <c r="I590" s="178"/>
      <c r="J590" s="177"/>
      <c r="K590" s="170"/>
      <c r="L590" s="170"/>
      <c r="M590" s="170"/>
      <c r="N590" s="171"/>
      <c r="O590" s="171"/>
      <c r="P590" s="148"/>
    </row>
    <row r="591" spans="1:16">
      <c r="A591" s="148"/>
      <c r="B591" s="148"/>
      <c r="C591" s="148"/>
      <c r="D591" s="148"/>
      <c r="E591" s="148"/>
      <c r="F591" s="285"/>
      <c r="G591" s="148"/>
      <c r="H591" s="170"/>
      <c r="I591" s="178"/>
      <c r="J591" s="177"/>
      <c r="K591" s="170"/>
      <c r="L591" s="170"/>
      <c r="M591" s="170"/>
      <c r="N591" s="171"/>
      <c r="O591" s="171"/>
      <c r="P591" s="148"/>
    </row>
    <row r="592" spans="1:16">
      <c r="A592" s="148"/>
      <c r="B592" s="148"/>
      <c r="C592" s="148"/>
      <c r="D592" s="148"/>
      <c r="E592" s="148"/>
      <c r="F592" s="285"/>
      <c r="G592" s="148"/>
      <c r="H592" s="170"/>
      <c r="I592" s="178"/>
      <c r="J592" s="177"/>
      <c r="K592" s="170"/>
      <c r="L592" s="170"/>
      <c r="M592" s="170"/>
      <c r="N592" s="171"/>
      <c r="O592" s="171"/>
      <c r="P592" s="148"/>
    </row>
    <row r="593" spans="1:16">
      <c r="A593" s="148"/>
      <c r="B593" s="148"/>
      <c r="C593" s="148"/>
      <c r="D593" s="148"/>
      <c r="E593" s="148"/>
      <c r="F593" s="285"/>
      <c r="G593" s="148"/>
      <c r="H593" s="170"/>
      <c r="I593" s="178"/>
      <c r="J593" s="177"/>
      <c r="K593" s="170"/>
      <c r="L593" s="170"/>
      <c r="M593" s="170"/>
      <c r="N593" s="171"/>
      <c r="O593" s="171"/>
      <c r="P593" s="148"/>
    </row>
    <row r="594" spans="1:16">
      <c r="A594" s="148"/>
      <c r="B594" s="148"/>
      <c r="C594" s="148"/>
      <c r="D594" s="148"/>
      <c r="E594" s="148"/>
      <c r="F594" s="285"/>
      <c r="G594" s="148"/>
      <c r="H594" s="170"/>
      <c r="I594" s="178"/>
      <c r="J594" s="177"/>
      <c r="K594" s="170"/>
      <c r="L594" s="170"/>
      <c r="M594" s="170"/>
      <c r="N594" s="171"/>
      <c r="O594" s="171"/>
      <c r="P594" s="148"/>
    </row>
    <row r="595" spans="1:16">
      <c r="A595" s="148"/>
      <c r="B595" s="148"/>
      <c r="C595" s="148"/>
      <c r="D595" s="148"/>
      <c r="E595" s="148"/>
      <c r="F595" s="285"/>
      <c r="G595" s="148"/>
      <c r="H595" s="170"/>
      <c r="I595" s="178"/>
      <c r="J595" s="177"/>
      <c r="K595" s="170"/>
      <c r="L595" s="170"/>
      <c r="M595" s="170"/>
      <c r="N595" s="171"/>
      <c r="O595" s="171"/>
      <c r="P595" s="148"/>
    </row>
    <row r="596" spans="1:16">
      <c r="A596" s="148"/>
      <c r="B596" s="148"/>
      <c r="C596" s="148"/>
      <c r="D596" s="148"/>
      <c r="E596" s="148"/>
      <c r="F596" s="285"/>
      <c r="G596" s="148"/>
      <c r="H596" s="170"/>
      <c r="I596" s="178"/>
      <c r="J596" s="177"/>
      <c r="K596" s="170"/>
      <c r="L596" s="170"/>
      <c r="M596" s="170"/>
      <c r="N596" s="171"/>
      <c r="O596" s="171"/>
      <c r="P596" s="148"/>
    </row>
    <row r="597" spans="1:16">
      <c r="A597" s="148"/>
      <c r="B597" s="148"/>
      <c r="C597" s="148"/>
      <c r="D597" s="148"/>
      <c r="E597" s="148"/>
      <c r="F597" s="285"/>
      <c r="G597" s="148"/>
      <c r="H597" s="170"/>
      <c r="I597" s="178"/>
      <c r="J597" s="177"/>
      <c r="K597" s="170"/>
      <c r="L597" s="170"/>
      <c r="M597" s="170"/>
      <c r="N597" s="171"/>
      <c r="O597" s="171"/>
      <c r="P597" s="148"/>
    </row>
    <row r="598" spans="1:16">
      <c r="A598" s="148"/>
      <c r="B598" s="148"/>
      <c r="C598" s="148"/>
      <c r="D598" s="148"/>
      <c r="E598" s="148"/>
      <c r="F598" s="285"/>
      <c r="G598" s="148"/>
      <c r="H598" s="170"/>
      <c r="I598" s="178"/>
      <c r="J598" s="177"/>
      <c r="K598" s="170"/>
      <c r="L598" s="170"/>
      <c r="M598" s="170"/>
      <c r="N598" s="171"/>
      <c r="O598" s="171"/>
      <c r="P598" s="148"/>
    </row>
    <row r="599" spans="1:16">
      <c r="A599" s="148"/>
      <c r="B599" s="148"/>
      <c r="C599" s="148"/>
      <c r="D599" s="148"/>
      <c r="E599" s="148"/>
      <c r="F599" s="285"/>
      <c r="G599" s="148"/>
      <c r="H599" s="170"/>
      <c r="I599" s="178"/>
      <c r="J599" s="177"/>
      <c r="K599" s="170"/>
      <c r="L599" s="170"/>
      <c r="M599" s="170"/>
      <c r="N599" s="171"/>
      <c r="O599" s="171"/>
      <c r="P599" s="148"/>
    </row>
    <row r="600" spans="1:16">
      <c r="A600" s="148"/>
      <c r="B600" s="148"/>
      <c r="C600" s="148"/>
      <c r="D600" s="148"/>
      <c r="E600" s="148"/>
      <c r="F600" s="285"/>
      <c r="G600" s="148"/>
      <c r="H600" s="170"/>
      <c r="I600" s="178"/>
      <c r="J600" s="177"/>
      <c r="K600" s="170"/>
      <c r="L600" s="170"/>
      <c r="M600" s="170"/>
      <c r="N600" s="171"/>
      <c r="O600" s="171"/>
      <c r="P600" s="148"/>
    </row>
    <row r="601" spans="1:16">
      <c r="A601" s="148"/>
      <c r="B601" s="148"/>
      <c r="C601" s="148"/>
      <c r="D601" s="148"/>
      <c r="E601" s="148"/>
      <c r="F601" s="285"/>
      <c r="G601" s="148"/>
      <c r="H601" s="170"/>
      <c r="I601" s="178"/>
      <c r="J601" s="177"/>
      <c r="K601" s="170"/>
      <c r="L601" s="170"/>
      <c r="M601" s="170"/>
      <c r="N601" s="171"/>
      <c r="O601" s="171"/>
      <c r="P601" s="148"/>
    </row>
    <row r="602" spans="1:16">
      <c r="A602" s="148"/>
      <c r="B602" s="148"/>
      <c r="C602" s="148"/>
      <c r="D602" s="148"/>
      <c r="E602" s="148"/>
      <c r="F602" s="285"/>
      <c r="G602" s="148"/>
      <c r="H602" s="170"/>
      <c r="I602" s="178"/>
      <c r="J602" s="177"/>
      <c r="K602" s="170"/>
      <c r="L602" s="170"/>
      <c r="M602" s="170"/>
      <c r="N602" s="171"/>
      <c r="O602" s="171"/>
      <c r="P602" s="148"/>
    </row>
    <row r="603" spans="1:16">
      <c r="A603" s="148"/>
      <c r="B603" s="148"/>
      <c r="C603" s="148"/>
      <c r="D603" s="148"/>
      <c r="E603" s="148"/>
      <c r="F603" s="285"/>
      <c r="G603" s="148"/>
      <c r="H603" s="170"/>
      <c r="I603" s="178"/>
      <c r="J603" s="177"/>
      <c r="K603" s="170"/>
      <c r="L603" s="170"/>
      <c r="M603" s="170"/>
      <c r="N603" s="171"/>
      <c r="O603" s="171"/>
      <c r="P603" s="148"/>
    </row>
    <row r="604" spans="1:16">
      <c r="A604" s="148"/>
      <c r="B604" s="148"/>
      <c r="C604" s="148"/>
      <c r="D604" s="148"/>
      <c r="E604" s="148"/>
      <c r="F604" s="285"/>
      <c r="G604" s="148"/>
      <c r="H604" s="170"/>
      <c r="I604" s="178"/>
      <c r="J604" s="177"/>
      <c r="K604" s="170"/>
      <c r="L604" s="170"/>
      <c r="M604" s="170"/>
      <c r="N604" s="171"/>
      <c r="O604" s="171"/>
      <c r="P604" s="148"/>
    </row>
    <row r="605" spans="1:16">
      <c r="A605" s="148"/>
      <c r="B605" s="148"/>
      <c r="C605" s="148"/>
      <c r="D605" s="148"/>
      <c r="E605" s="148"/>
      <c r="F605" s="285"/>
      <c r="G605" s="148"/>
      <c r="H605" s="170"/>
      <c r="I605" s="178"/>
      <c r="J605" s="177"/>
      <c r="K605" s="170"/>
      <c r="L605" s="170"/>
      <c r="M605" s="170"/>
      <c r="N605" s="171"/>
      <c r="O605" s="171"/>
      <c r="P605" s="148"/>
    </row>
    <row r="606" spans="1:16">
      <c r="A606" s="148"/>
      <c r="B606" s="148"/>
      <c r="C606" s="148"/>
      <c r="D606" s="148"/>
      <c r="E606" s="148"/>
      <c r="F606" s="285"/>
      <c r="G606" s="148"/>
      <c r="H606" s="170"/>
      <c r="I606" s="178"/>
      <c r="J606" s="177"/>
      <c r="K606" s="170"/>
      <c r="L606" s="170"/>
      <c r="M606" s="170"/>
      <c r="N606" s="171"/>
      <c r="O606" s="171"/>
      <c r="P606" s="148"/>
    </row>
    <row r="607" spans="1:16">
      <c r="A607" s="148"/>
      <c r="B607" s="148"/>
      <c r="C607" s="148"/>
      <c r="D607" s="148"/>
      <c r="E607" s="148"/>
      <c r="F607" s="285"/>
      <c r="G607" s="148"/>
      <c r="H607" s="170"/>
      <c r="I607" s="178"/>
      <c r="J607" s="177"/>
      <c r="K607" s="170"/>
      <c r="L607" s="170"/>
      <c r="M607" s="170"/>
      <c r="N607" s="171"/>
      <c r="O607" s="171"/>
      <c r="P607" s="148"/>
    </row>
    <row r="608" spans="1:16">
      <c r="A608" s="148"/>
      <c r="B608" s="148"/>
      <c r="C608" s="148"/>
      <c r="D608" s="148"/>
      <c r="E608" s="148"/>
      <c r="F608" s="285"/>
      <c r="G608" s="148"/>
      <c r="H608" s="170"/>
      <c r="I608" s="178"/>
      <c r="J608" s="177"/>
      <c r="K608" s="170"/>
      <c r="L608" s="170"/>
      <c r="M608" s="170"/>
      <c r="N608" s="171"/>
      <c r="O608" s="171"/>
      <c r="P608" s="148"/>
    </row>
    <row r="609" spans="1:16">
      <c r="A609" s="148"/>
      <c r="B609" s="148"/>
      <c r="C609" s="148"/>
      <c r="D609" s="148"/>
      <c r="E609" s="148"/>
      <c r="F609" s="285"/>
      <c r="G609" s="148"/>
      <c r="H609" s="170"/>
      <c r="I609" s="178"/>
      <c r="J609" s="177"/>
      <c r="K609" s="170"/>
      <c r="L609" s="170"/>
      <c r="M609" s="170"/>
      <c r="N609" s="171"/>
      <c r="O609" s="171"/>
      <c r="P609" s="148"/>
    </row>
    <row r="610" spans="1:16">
      <c r="A610" s="148"/>
      <c r="B610" s="148"/>
      <c r="C610" s="148"/>
      <c r="D610" s="148"/>
      <c r="E610" s="148"/>
      <c r="F610" s="285"/>
      <c r="G610" s="148"/>
      <c r="H610" s="170"/>
      <c r="I610" s="178"/>
      <c r="J610" s="177"/>
      <c r="K610" s="170"/>
      <c r="L610" s="170"/>
      <c r="M610" s="170"/>
      <c r="N610" s="171"/>
      <c r="O610" s="171"/>
      <c r="P610" s="148"/>
    </row>
    <row r="611" spans="1:16">
      <c r="A611" s="148"/>
      <c r="B611" s="148"/>
      <c r="C611" s="148"/>
      <c r="D611" s="148"/>
      <c r="E611" s="148"/>
      <c r="F611" s="285"/>
      <c r="G611" s="148"/>
      <c r="H611" s="170"/>
      <c r="I611" s="178"/>
      <c r="J611" s="177"/>
      <c r="K611" s="170"/>
      <c r="L611" s="170"/>
      <c r="M611" s="170"/>
      <c r="N611" s="171"/>
      <c r="O611" s="171"/>
      <c r="P611" s="148"/>
    </row>
    <row r="612" spans="1:16">
      <c r="A612" s="148"/>
      <c r="B612" s="148"/>
      <c r="C612" s="148"/>
      <c r="D612" s="148"/>
      <c r="E612" s="148"/>
      <c r="F612" s="285"/>
      <c r="G612" s="148"/>
      <c r="H612" s="170"/>
      <c r="I612" s="178"/>
      <c r="J612" s="177"/>
      <c r="K612" s="170"/>
      <c r="L612" s="170"/>
      <c r="M612" s="170"/>
      <c r="N612" s="171"/>
      <c r="O612" s="171"/>
      <c r="P612" s="148"/>
    </row>
    <row r="613" spans="1:16">
      <c r="A613" s="148"/>
      <c r="B613" s="148"/>
      <c r="C613" s="148"/>
      <c r="D613" s="148"/>
      <c r="E613" s="148"/>
      <c r="F613" s="285"/>
      <c r="G613" s="148"/>
      <c r="H613" s="170"/>
      <c r="I613" s="178"/>
      <c r="J613" s="177"/>
      <c r="K613" s="170"/>
      <c r="L613" s="170"/>
      <c r="M613" s="170"/>
      <c r="N613" s="171"/>
      <c r="O613" s="171"/>
      <c r="P613" s="148"/>
    </row>
    <row r="614" spans="1:16">
      <c r="A614" s="148"/>
      <c r="B614" s="148"/>
      <c r="C614" s="148"/>
      <c r="D614" s="148"/>
      <c r="E614" s="148"/>
      <c r="F614" s="285"/>
      <c r="G614" s="148"/>
      <c r="H614" s="170"/>
      <c r="I614" s="178"/>
      <c r="J614" s="177"/>
      <c r="K614" s="170"/>
      <c r="L614" s="170"/>
      <c r="M614" s="170"/>
      <c r="N614" s="171"/>
      <c r="O614" s="171"/>
      <c r="P614" s="148"/>
    </row>
    <row r="615" spans="1:16">
      <c r="A615" s="148"/>
      <c r="B615" s="148"/>
      <c r="C615" s="148"/>
      <c r="D615" s="148"/>
      <c r="E615" s="148"/>
      <c r="F615" s="285"/>
      <c r="G615" s="148"/>
      <c r="H615" s="170"/>
      <c r="I615" s="178"/>
      <c r="J615" s="177"/>
      <c r="K615" s="170"/>
      <c r="L615" s="170"/>
      <c r="M615" s="170"/>
      <c r="N615" s="171"/>
      <c r="O615" s="171"/>
      <c r="P615" s="148"/>
    </row>
    <row r="616" spans="1:16">
      <c r="A616" s="148"/>
      <c r="B616" s="148"/>
      <c r="C616" s="148"/>
      <c r="D616" s="148"/>
      <c r="E616" s="148"/>
      <c r="F616" s="285"/>
      <c r="G616" s="148"/>
      <c r="H616" s="170"/>
      <c r="I616" s="178"/>
      <c r="J616" s="177"/>
      <c r="K616" s="170"/>
      <c r="L616" s="170"/>
      <c r="M616" s="170"/>
      <c r="N616" s="171"/>
      <c r="O616" s="171"/>
      <c r="P616" s="148"/>
    </row>
    <row r="617" spans="1:16">
      <c r="A617" s="148"/>
      <c r="B617" s="148"/>
      <c r="C617" s="148"/>
      <c r="D617" s="148"/>
      <c r="E617" s="148"/>
      <c r="F617" s="285"/>
      <c r="G617" s="148"/>
      <c r="H617" s="170"/>
      <c r="I617" s="178"/>
      <c r="J617" s="177"/>
      <c r="K617" s="170"/>
      <c r="L617" s="170"/>
      <c r="M617" s="170"/>
      <c r="N617" s="171"/>
      <c r="O617" s="171"/>
      <c r="P617" s="148"/>
    </row>
    <row r="618" spans="1:16">
      <c r="A618" s="148"/>
      <c r="B618" s="148"/>
      <c r="C618" s="148"/>
      <c r="D618" s="148"/>
      <c r="E618" s="148"/>
      <c r="F618" s="285"/>
      <c r="G618" s="148"/>
      <c r="H618" s="170"/>
      <c r="I618" s="178"/>
      <c r="J618" s="177"/>
      <c r="K618" s="170"/>
      <c r="L618" s="170"/>
      <c r="M618" s="170"/>
      <c r="N618" s="171"/>
      <c r="O618" s="171"/>
      <c r="P618" s="148"/>
    </row>
    <row r="619" spans="1:16">
      <c r="A619" s="148"/>
      <c r="B619" s="148"/>
      <c r="C619" s="148"/>
      <c r="D619" s="148"/>
      <c r="E619" s="148"/>
      <c r="F619" s="285"/>
      <c r="G619" s="148"/>
      <c r="H619" s="170"/>
      <c r="I619" s="178"/>
      <c r="J619" s="177"/>
      <c r="K619" s="170"/>
      <c r="L619" s="170"/>
      <c r="M619" s="170"/>
      <c r="N619" s="171"/>
      <c r="O619" s="171"/>
      <c r="P619" s="148"/>
    </row>
    <row r="620" spans="1:16">
      <c r="A620" s="148"/>
      <c r="B620" s="148"/>
      <c r="C620" s="148"/>
      <c r="D620" s="148"/>
      <c r="E620" s="148"/>
      <c r="F620" s="285"/>
      <c r="G620" s="148"/>
      <c r="H620" s="170"/>
      <c r="I620" s="178"/>
      <c r="J620" s="177"/>
      <c r="K620" s="170"/>
      <c r="L620" s="170"/>
      <c r="M620" s="170"/>
      <c r="N620" s="171"/>
      <c r="O620" s="171"/>
      <c r="P620" s="148"/>
    </row>
    <row r="621" spans="1:16">
      <c r="A621" s="148"/>
      <c r="B621" s="148"/>
      <c r="C621" s="148"/>
      <c r="D621" s="148"/>
      <c r="E621" s="148"/>
      <c r="F621" s="285"/>
      <c r="G621" s="148"/>
      <c r="H621" s="170"/>
      <c r="I621" s="178"/>
      <c r="J621" s="177"/>
      <c r="K621" s="170"/>
      <c r="L621" s="170"/>
      <c r="M621" s="170"/>
      <c r="N621" s="171"/>
      <c r="O621" s="171"/>
      <c r="P621" s="148"/>
    </row>
    <row r="622" spans="1:16">
      <c r="A622" s="148"/>
      <c r="B622" s="148"/>
      <c r="C622" s="148"/>
      <c r="D622" s="148"/>
      <c r="E622" s="148"/>
      <c r="F622" s="285"/>
      <c r="G622" s="148"/>
      <c r="H622" s="170"/>
      <c r="I622" s="178"/>
      <c r="J622" s="177"/>
      <c r="K622" s="170"/>
      <c r="L622" s="170"/>
      <c r="M622" s="170"/>
      <c r="N622" s="171"/>
      <c r="O622" s="171"/>
      <c r="P622" s="148"/>
    </row>
    <row r="623" spans="1:16">
      <c r="A623" s="148"/>
      <c r="B623" s="148"/>
      <c r="C623" s="148"/>
      <c r="D623" s="148"/>
      <c r="E623" s="148"/>
      <c r="F623" s="285"/>
      <c r="G623" s="148"/>
      <c r="H623" s="170"/>
      <c r="I623" s="178"/>
      <c r="J623" s="177"/>
      <c r="K623" s="170"/>
      <c r="L623" s="170"/>
      <c r="M623" s="170"/>
      <c r="N623" s="171"/>
      <c r="O623" s="171"/>
      <c r="P623" s="148"/>
    </row>
    <row r="624" spans="1:16">
      <c r="A624" s="148"/>
      <c r="B624" s="148"/>
      <c r="C624" s="148"/>
      <c r="D624" s="148"/>
      <c r="E624" s="148"/>
      <c r="F624" s="285"/>
      <c r="G624" s="148"/>
      <c r="H624" s="170"/>
      <c r="I624" s="178"/>
      <c r="J624" s="177"/>
      <c r="K624" s="170"/>
      <c r="L624" s="170"/>
      <c r="M624" s="170"/>
      <c r="N624" s="171"/>
      <c r="O624" s="171"/>
      <c r="P624" s="148"/>
    </row>
    <row r="625" spans="1:16">
      <c r="A625" s="148"/>
      <c r="B625" s="148"/>
      <c r="C625" s="148"/>
      <c r="D625" s="148"/>
      <c r="E625" s="148"/>
      <c r="F625" s="285"/>
      <c r="G625" s="148"/>
      <c r="H625" s="170"/>
      <c r="I625" s="178"/>
      <c r="J625" s="177"/>
      <c r="K625" s="170"/>
      <c r="L625" s="170"/>
      <c r="M625" s="170"/>
      <c r="N625" s="171"/>
      <c r="O625" s="171"/>
      <c r="P625" s="148"/>
    </row>
    <row r="626" spans="1:16">
      <c r="A626" s="148"/>
      <c r="B626" s="148"/>
      <c r="C626" s="148"/>
      <c r="D626" s="148"/>
      <c r="E626" s="148"/>
      <c r="F626" s="285"/>
      <c r="G626" s="148"/>
      <c r="H626" s="170"/>
      <c r="I626" s="178"/>
      <c r="J626" s="177"/>
      <c r="K626" s="170"/>
      <c r="L626" s="170"/>
      <c r="M626" s="170"/>
      <c r="N626" s="171"/>
      <c r="O626" s="171"/>
      <c r="P626" s="148"/>
    </row>
    <row r="627" spans="1:16">
      <c r="A627" s="148"/>
      <c r="B627" s="148"/>
      <c r="C627" s="148"/>
      <c r="D627" s="148"/>
      <c r="E627" s="148"/>
      <c r="F627" s="285"/>
      <c r="G627" s="148"/>
      <c r="H627" s="170"/>
      <c r="I627" s="178"/>
      <c r="J627" s="177"/>
      <c r="K627" s="170"/>
      <c r="L627" s="170"/>
      <c r="M627" s="170"/>
      <c r="N627" s="171"/>
      <c r="O627" s="171"/>
      <c r="P627" s="148"/>
    </row>
    <row r="628" spans="1:16">
      <c r="A628" s="148"/>
      <c r="B628" s="148"/>
      <c r="C628" s="148"/>
      <c r="D628" s="148"/>
      <c r="E628" s="148"/>
      <c r="F628" s="285"/>
      <c r="G628" s="148"/>
      <c r="H628" s="170"/>
      <c r="I628" s="178"/>
      <c r="J628" s="177"/>
      <c r="K628" s="170"/>
      <c r="L628" s="170"/>
      <c r="M628" s="170"/>
      <c r="N628" s="171"/>
      <c r="O628" s="171"/>
      <c r="P628" s="148"/>
    </row>
    <row r="629" spans="1:16">
      <c r="A629" s="148"/>
      <c r="B629" s="148"/>
      <c r="C629" s="148"/>
      <c r="D629" s="148"/>
      <c r="E629" s="148"/>
      <c r="F629" s="285"/>
      <c r="G629" s="148"/>
      <c r="H629" s="170"/>
      <c r="I629" s="178"/>
      <c r="J629" s="177"/>
      <c r="K629" s="170"/>
      <c r="L629" s="170"/>
      <c r="M629" s="170"/>
      <c r="N629" s="171"/>
      <c r="O629" s="171"/>
      <c r="P629" s="148"/>
    </row>
    <row r="630" spans="1:16">
      <c r="A630" s="148"/>
      <c r="B630" s="148"/>
      <c r="C630" s="148"/>
      <c r="D630" s="148"/>
      <c r="E630" s="148"/>
      <c r="F630" s="285"/>
      <c r="G630" s="148"/>
      <c r="H630" s="170"/>
      <c r="I630" s="178"/>
      <c r="J630" s="177"/>
      <c r="K630" s="170"/>
      <c r="L630" s="170"/>
      <c r="M630" s="170"/>
      <c r="N630" s="171"/>
      <c r="O630" s="171"/>
      <c r="P630" s="148"/>
    </row>
    <row r="631" spans="1:16">
      <c r="A631" s="148"/>
      <c r="B631" s="148"/>
      <c r="C631" s="148"/>
      <c r="D631" s="148"/>
      <c r="E631" s="148"/>
      <c r="F631" s="285"/>
      <c r="G631" s="148"/>
      <c r="H631" s="170"/>
      <c r="I631" s="178"/>
      <c r="J631" s="177"/>
      <c r="K631" s="170"/>
      <c r="L631" s="170"/>
      <c r="M631" s="170"/>
      <c r="N631" s="171"/>
      <c r="O631" s="171"/>
      <c r="P631" s="148"/>
    </row>
    <row r="632" spans="1:16">
      <c r="A632" s="148"/>
      <c r="B632" s="148"/>
      <c r="C632" s="148"/>
      <c r="D632" s="148"/>
      <c r="E632" s="148"/>
      <c r="F632" s="285"/>
      <c r="G632" s="148"/>
      <c r="H632" s="170"/>
      <c r="I632" s="178"/>
      <c r="J632" s="177"/>
      <c r="K632" s="170"/>
      <c r="L632" s="170"/>
      <c r="M632" s="170"/>
      <c r="N632" s="171"/>
      <c r="O632" s="171"/>
      <c r="P632" s="148"/>
    </row>
    <row r="633" spans="1:16">
      <c r="A633" s="148"/>
      <c r="B633" s="148"/>
      <c r="C633" s="148"/>
      <c r="D633" s="148"/>
      <c r="E633" s="148"/>
      <c r="F633" s="285"/>
      <c r="G633" s="148"/>
      <c r="H633" s="170"/>
      <c r="I633" s="178"/>
      <c r="J633" s="177"/>
      <c r="K633" s="170"/>
      <c r="L633" s="170"/>
      <c r="M633" s="170"/>
      <c r="N633" s="171"/>
      <c r="O633" s="171"/>
      <c r="P633" s="148"/>
    </row>
    <row r="634" spans="1:16">
      <c r="A634" s="148"/>
      <c r="B634" s="148"/>
      <c r="C634" s="148"/>
      <c r="D634" s="148"/>
      <c r="E634" s="148"/>
      <c r="F634" s="285"/>
      <c r="G634" s="148"/>
      <c r="H634" s="170"/>
      <c r="I634" s="178"/>
      <c r="J634" s="177"/>
      <c r="K634" s="170"/>
      <c r="L634" s="170"/>
      <c r="M634" s="170"/>
      <c r="N634" s="171"/>
      <c r="O634" s="171"/>
      <c r="P634" s="148"/>
    </row>
    <row r="635" spans="1:16">
      <c r="A635" s="148"/>
      <c r="B635" s="148"/>
      <c r="C635" s="148"/>
      <c r="D635" s="148"/>
      <c r="E635" s="148"/>
      <c r="F635" s="285"/>
      <c r="G635" s="148"/>
      <c r="H635" s="170"/>
      <c r="I635" s="178"/>
      <c r="J635" s="177"/>
      <c r="K635" s="170"/>
      <c r="L635" s="170"/>
      <c r="M635" s="170"/>
      <c r="N635" s="171"/>
      <c r="O635" s="171"/>
      <c r="P635" s="148"/>
    </row>
    <row r="636" spans="1:16">
      <c r="A636" s="148"/>
      <c r="B636" s="148"/>
      <c r="C636" s="148"/>
      <c r="D636" s="148"/>
      <c r="E636" s="148"/>
      <c r="F636" s="285"/>
      <c r="G636" s="148"/>
      <c r="H636" s="170"/>
      <c r="I636" s="178"/>
      <c r="J636" s="177"/>
      <c r="K636" s="170"/>
      <c r="L636" s="170"/>
      <c r="M636" s="170"/>
      <c r="N636" s="171"/>
      <c r="O636" s="171"/>
      <c r="P636" s="148"/>
    </row>
    <row r="637" spans="1:16">
      <c r="A637" s="148"/>
      <c r="B637" s="148"/>
      <c r="C637" s="148"/>
      <c r="D637" s="148"/>
      <c r="E637" s="148"/>
      <c r="F637" s="285"/>
      <c r="G637" s="148"/>
      <c r="H637" s="170"/>
      <c r="I637" s="178"/>
      <c r="J637" s="177"/>
      <c r="K637" s="170"/>
      <c r="L637" s="170"/>
      <c r="M637" s="170"/>
      <c r="N637" s="171"/>
      <c r="O637" s="171"/>
      <c r="P637" s="148"/>
    </row>
    <row r="638" spans="1:16">
      <c r="A638" s="148"/>
      <c r="B638" s="148"/>
      <c r="C638" s="148"/>
      <c r="D638" s="148"/>
      <c r="E638" s="148"/>
      <c r="F638" s="285"/>
      <c r="G638" s="148"/>
      <c r="H638" s="170"/>
      <c r="I638" s="178"/>
      <c r="J638" s="177"/>
      <c r="K638" s="170"/>
      <c r="L638" s="170"/>
      <c r="M638" s="170"/>
      <c r="N638" s="171"/>
      <c r="O638" s="171"/>
      <c r="P638" s="148"/>
    </row>
    <row r="639" spans="1:16">
      <c r="A639" s="148"/>
      <c r="B639" s="148"/>
      <c r="C639" s="148"/>
      <c r="D639" s="148"/>
      <c r="E639" s="148"/>
      <c r="F639" s="285"/>
      <c r="G639" s="148"/>
      <c r="H639" s="170"/>
      <c r="I639" s="178"/>
      <c r="J639" s="177"/>
      <c r="K639" s="170"/>
      <c r="L639" s="170"/>
      <c r="M639" s="170"/>
      <c r="N639" s="171"/>
      <c r="O639" s="171"/>
      <c r="P639" s="148"/>
    </row>
    <row r="640" spans="1:16">
      <c r="A640" s="148"/>
      <c r="B640" s="148"/>
      <c r="C640" s="148"/>
      <c r="D640" s="148"/>
      <c r="E640" s="148"/>
      <c r="F640" s="285"/>
      <c r="G640" s="148"/>
      <c r="H640" s="170"/>
      <c r="I640" s="178"/>
      <c r="J640" s="177"/>
      <c r="K640" s="170"/>
      <c r="L640" s="170"/>
      <c r="M640" s="170"/>
      <c r="N640" s="171"/>
      <c r="O640" s="171"/>
      <c r="P640" s="148"/>
    </row>
    <row r="641" spans="1:16">
      <c r="A641" s="148"/>
      <c r="B641" s="148"/>
      <c r="C641" s="148"/>
      <c r="D641" s="148"/>
      <c r="E641" s="148"/>
      <c r="F641" s="285"/>
      <c r="G641" s="148"/>
      <c r="H641" s="170"/>
      <c r="I641" s="178"/>
      <c r="J641" s="177"/>
      <c r="K641" s="170"/>
      <c r="L641" s="170"/>
      <c r="M641" s="170"/>
      <c r="N641" s="171"/>
      <c r="O641" s="171"/>
      <c r="P641" s="148"/>
    </row>
    <row r="642" spans="1:16">
      <c r="A642" s="148"/>
      <c r="B642" s="148"/>
      <c r="C642" s="148"/>
      <c r="D642" s="148"/>
      <c r="E642" s="148"/>
      <c r="F642" s="285"/>
      <c r="G642" s="148"/>
      <c r="H642" s="170"/>
      <c r="I642" s="178"/>
      <c r="J642" s="177"/>
      <c r="K642" s="170"/>
      <c r="L642" s="170"/>
      <c r="M642" s="170"/>
      <c r="N642" s="171"/>
      <c r="O642" s="171"/>
      <c r="P642" s="148"/>
    </row>
    <row r="643" spans="1:16">
      <c r="A643" s="148"/>
      <c r="B643" s="148"/>
      <c r="C643" s="148"/>
      <c r="D643" s="148"/>
      <c r="E643" s="148"/>
      <c r="F643" s="285"/>
      <c r="G643" s="148"/>
      <c r="H643" s="170"/>
      <c r="I643" s="178"/>
      <c r="J643" s="177"/>
      <c r="K643" s="170"/>
      <c r="L643" s="170"/>
      <c r="M643" s="170"/>
      <c r="N643" s="171"/>
      <c r="O643" s="171"/>
      <c r="P643" s="148"/>
    </row>
    <row r="644" spans="1:16">
      <c r="A644" s="148"/>
      <c r="B644" s="148"/>
      <c r="C644" s="148"/>
      <c r="D644" s="148"/>
      <c r="E644" s="148"/>
      <c r="F644" s="285"/>
      <c r="G644" s="148"/>
      <c r="H644" s="170"/>
      <c r="I644" s="178"/>
      <c r="J644" s="177"/>
      <c r="K644" s="170"/>
      <c r="L644" s="170"/>
      <c r="M644" s="170"/>
      <c r="N644" s="171"/>
      <c r="O644" s="171"/>
      <c r="P644" s="148"/>
    </row>
    <row r="645" spans="1:16">
      <c r="A645" s="148"/>
      <c r="B645" s="148"/>
      <c r="C645" s="148"/>
      <c r="D645" s="148"/>
      <c r="E645" s="148"/>
      <c r="F645" s="285"/>
      <c r="G645" s="148"/>
      <c r="H645" s="170"/>
      <c r="I645" s="178"/>
      <c r="J645" s="177"/>
      <c r="K645" s="170"/>
      <c r="L645" s="170"/>
      <c r="M645" s="170"/>
      <c r="N645" s="171"/>
      <c r="O645" s="171"/>
      <c r="P645" s="148"/>
    </row>
    <row r="646" spans="1:16">
      <c r="A646" s="148"/>
      <c r="B646" s="148"/>
      <c r="C646" s="148"/>
      <c r="D646" s="148"/>
      <c r="E646" s="148"/>
      <c r="F646" s="285"/>
      <c r="G646" s="148"/>
      <c r="H646" s="170"/>
      <c r="I646" s="178"/>
      <c r="J646" s="177"/>
      <c r="K646" s="170"/>
      <c r="L646" s="170"/>
      <c r="M646" s="170"/>
      <c r="N646" s="171"/>
      <c r="O646" s="171"/>
      <c r="P646" s="148"/>
    </row>
    <row r="647" spans="1:16">
      <c r="A647" s="148"/>
      <c r="B647" s="148"/>
      <c r="C647" s="148"/>
      <c r="D647" s="148"/>
      <c r="E647" s="148"/>
      <c r="F647" s="285"/>
      <c r="G647" s="148"/>
      <c r="H647" s="170"/>
      <c r="I647" s="178"/>
      <c r="J647" s="177"/>
      <c r="K647" s="170"/>
      <c r="L647" s="170"/>
      <c r="M647" s="170"/>
      <c r="N647" s="171"/>
      <c r="O647" s="171"/>
      <c r="P647" s="148"/>
    </row>
    <row r="648" spans="1:16">
      <c r="A648" s="148"/>
      <c r="B648" s="148"/>
      <c r="C648" s="148"/>
      <c r="D648" s="148"/>
      <c r="E648" s="148"/>
      <c r="F648" s="285"/>
      <c r="G648" s="148"/>
      <c r="H648" s="170"/>
      <c r="I648" s="178"/>
      <c r="J648" s="177"/>
      <c r="K648" s="170"/>
      <c r="L648" s="170"/>
      <c r="M648" s="170"/>
      <c r="N648" s="171"/>
      <c r="O648" s="171"/>
      <c r="P648" s="148"/>
    </row>
    <row r="649" spans="1:16">
      <c r="A649" s="148"/>
      <c r="B649" s="148"/>
      <c r="C649" s="148"/>
      <c r="D649" s="148"/>
      <c r="E649" s="148"/>
      <c r="F649" s="285"/>
      <c r="G649" s="148"/>
      <c r="H649" s="170"/>
      <c r="I649" s="178"/>
      <c r="J649" s="177"/>
      <c r="K649" s="170"/>
      <c r="L649" s="170"/>
      <c r="M649" s="170"/>
      <c r="N649" s="171"/>
      <c r="O649" s="171"/>
      <c r="P649" s="148"/>
    </row>
    <row r="650" spans="1:16">
      <c r="A650" s="148"/>
      <c r="B650" s="148"/>
      <c r="C650" s="148"/>
      <c r="D650" s="148"/>
      <c r="E650" s="148"/>
      <c r="F650" s="285"/>
      <c r="G650" s="148"/>
      <c r="H650" s="170"/>
      <c r="I650" s="178"/>
      <c r="J650" s="177"/>
      <c r="K650" s="170"/>
      <c r="L650" s="170"/>
      <c r="M650" s="170"/>
      <c r="N650" s="171"/>
      <c r="O650" s="171"/>
      <c r="P650" s="148"/>
    </row>
    <row r="651" spans="1:16">
      <c r="A651" s="148"/>
      <c r="B651" s="148"/>
      <c r="C651" s="148"/>
      <c r="D651" s="148"/>
      <c r="E651" s="148"/>
      <c r="F651" s="285"/>
      <c r="G651" s="148"/>
      <c r="H651" s="170"/>
      <c r="I651" s="178"/>
      <c r="J651" s="177"/>
      <c r="K651" s="170"/>
      <c r="L651" s="170"/>
      <c r="M651" s="170"/>
      <c r="N651" s="171"/>
      <c r="O651" s="171"/>
      <c r="P651" s="148"/>
    </row>
    <row r="652" spans="1:16">
      <c r="A652" s="148"/>
      <c r="B652" s="148"/>
      <c r="C652" s="148"/>
      <c r="D652" s="148"/>
      <c r="E652" s="148"/>
      <c r="F652" s="285"/>
      <c r="G652" s="148"/>
      <c r="H652" s="170"/>
      <c r="I652" s="178"/>
      <c r="J652" s="177"/>
      <c r="K652" s="170"/>
      <c r="L652" s="170"/>
      <c r="M652" s="170"/>
      <c r="N652" s="171"/>
      <c r="O652" s="171"/>
      <c r="P652" s="148"/>
    </row>
    <row r="653" spans="1:16">
      <c r="A653" s="148"/>
      <c r="B653" s="148"/>
      <c r="C653" s="148"/>
      <c r="D653" s="148"/>
      <c r="E653" s="148"/>
      <c r="F653" s="285"/>
      <c r="G653" s="148"/>
      <c r="H653" s="170"/>
      <c r="I653" s="178"/>
      <c r="J653" s="177"/>
      <c r="K653" s="170"/>
      <c r="L653" s="170"/>
      <c r="M653" s="170"/>
      <c r="N653" s="171"/>
      <c r="O653" s="171"/>
      <c r="P653" s="148"/>
    </row>
    <row r="654" spans="1:16">
      <c r="A654" s="148"/>
      <c r="B654" s="148"/>
      <c r="C654" s="148"/>
      <c r="D654" s="148"/>
      <c r="E654" s="148"/>
      <c r="F654" s="285"/>
      <c r="G654" s="148"/>
      <c r="H654" s="170"/>
      <c r="I654" s="178"/>
      <c r="J654" s="177"/>
      <c r="K654" s="170"/>
      <c r="L654" s="170"/>
      <c r="M654" s="170"/>
      <c r="N654" s="171"/>
      <c r="O654" s="171"/>
      <c r="P654" s="148"/>
    </row>
    <row r="655" spans="1:16">
      <c r="A655" s="148"/>
      <c r="B655" s="148"/>
      <c r="C655" s="148"/>
      <c r="D655" s="148"/>
      <c r="E655" s="148"/>
      <c r="F655" s="285"/>
      <c r="G655" s="148"/>
      <c r="H655" s="170"/>
      <c r="I655" s="178"/>
      <c r="J655" s="177"/>
      <c r="K655" s="170"/>
      <c r="L655" s="170"/>
      <c r="M655" s="170"/>
      <c r="N655" s="171"/>
      <c r="O655" s="171"/>
      <c r="P655" s="148"/>
    </row>
    <row r="656" spans="1:16">
      <c r="A656" s="148"/>
      <c r="B656" s="148"/>
      <c r="C656" s="148"/>
      <c r="D656" s="148"/>
      <c r="E656" s="148"/>
      <c r="F656" s="285"/>
      <c r="G656" s="148"/>
      <c r="H656" s="170"/>
      <c r="I656" s="178"/>
      <c r="J656" s="177"/>
      <c r="K656" s="170"/>
      <c r="L656" s="170"/>
      <c r="M656" s="170"/>
      <c r="N656" s="171"/>
      <c r="O656" s="171"/>
      <c r="P656" s="148"/>
    </row>
    <row r="657" spans="1:16">
      <c r="A657" s="148"/>
      <c r="B657" s="148"/>
      <c r="C657" s="148"/>
      <c r="D657" s="148"/>
      <c r="E657" s="148"/>
      <c r="F657" s="285"/>
      <c r="G657" s="148"/>
      <c r="H657" s="170"/>
      <c r="I657" s="178"/>
      <c r="J657" s="177"/>
      <c r="K657" s="170"/>
      <c r="L657" s="170"/>
      <c r="M657" s="170"/>
      <c r="N657" s="171"/>
      <c r="O657" s="171"/>
      <c r="P657" s="148"/>
    </row>
    <row r="658" spans="1:16">
      <c r="A658" s="148"/>
      <c r="B658" s="148"/>
      <c r="C658" s="148"/>
      <c r="D658" s="148"/>
      <c r="E658" s="148"/>
      <c r="F658" s="285"/>
      <c r="G658" s="148"/>
      <c r="H658" s="170"/>
      <c r="I658" s="178"/>
      <c r="J658" s="177"/>
      <c r="K658" s="170"/>
      <c r="L658" s="170"/>
      <c r="M658" s="170"/>
      <c r="N658" s="171"/>
      <c r="O658" s="171"/>
      <c r="P658" s="148"/>
    </row>
    <row r="659" spans="1:16">
      <c r="A659" s="148"/>
      <c r="B659" s="148"/>
      <c r="C659" s="148"/>
      <c r="D659" s="148"/>
      <c r="E659" s="148"/>
      <c r="F659" s="285"/>
      <c r="G659" s="148"/>
      <c r="H659" s="170"/>
      <c r="I659" s="178"/>
      <c r="J659" s="177"/>
      <c r="K659" s="170"/>
      <c r="L659" s="170"/>
      <c r="M659" s="170"/>
      <c r="N659" s="171"/>
      <c r="O659" s="171"/>
      <c r="P659" s="148"/>
    </row>
    <row r="660" spans="1:16">
      <c r="A660" s="148"/>
      <c r="B660" s="148"/>
      <c r="C660" s="148"/>
      <c r="D660" s="148"/>
      <c r="E660" s="148"/>
      <c r="F660" s="285"/>
      <c r="G660" s="148"/>
      <c r="H660" s="170"/>
      <c r="I660" s="178"/>
      <c r="J660" s="177"/>
      <c r="K660" s="170"/>
      <c r="L660" s="170"/>
      <c r="M660" s="170"/>
      <c r="N660" s="171"/>
      <c r="O660" s="171"/>
      <c r="P660" s="148"/>
    </row>
    <row r="661" spans="1:16">
      <c r="A661" s="148"/>
      <c r="B661" s="148"/>
      <c r="C661" s="148"/>
      <c r="D661" s="148"/>
      <c r="E661" s="148"/>
      <c r="F661" s="285"/>
      <c r="G661" s="148"/>
      <c r="H661" s="170"/>
      <c r="I661" s="178"/>
      <c r="J661" s="177"/>
      <c r="K661" s="170"/>
      <c r="L661" s="170"/>
      <c r="M661" s="170"/>
      <c r="N661" s="171"/>
      <c r="O661" s="171"/>
      <c r="P661" s="148"/>
    </row>
    <row r="662" spans="1:16">
      <c r="A662" s="148"/>
      <c r="B662" s="148"/>
      <c r="C662" s="148"/>
      <c r="D662" s="148"/>
      <c r="E662" s="148"/>
      <c r="F662" s="285"/>
      <c r="G662" s="148"/>
      <c r="H662" s="170"/>
      <c r="I662" s="178"/>
      <c r="J662" s="177"/>
      <c r="K662" s="170"/>
      <c r="L662" s="170"/>
      <c r="M662" s="170"/>
      <c r="N662" s="171"/>
      <c r="O662" s="171"/>
      <c r="P662" s="148"/>
    </row>
    <row r="663" spans="1:16">
      <c r="A663" s="148"/>
      <c r="B663" s="148"/>
      <c r="C663" s="148"/>
      <c r="D663" s="148"/>
      <c r="E663" s="148"/>
      <c r="F663" s="285"/>
      <c r="G663" s="148"/>
      <c r="H663" s="170"/>
      <c r="I663" s="178"/>
      <c r="J663" s="177"/>
      <c r="K663" s="170"/>
      <c r="L663" s="170"/>
      <c r="M663" s="170"/>
      <c r="N663" s="171"/>
      <c r="O663" s="171"/>
      <c r="P663" s="148"/>
    </row>
    <row r="664" spans="1:16">
      <c r="A664" s="148"/>
      <c r="B664" s="148"/>
      <c r="C664" s="148"/>
      <c r="D664" s="148"/>
      <c r="E664" s="148"/>
      <c r="F664" s="285"/>
      <c r="G664" s="148"/>
      <c r="H664" s="170"/>
      <c r="I664" s="178"/>
      <c r="J664" s="177"/>
      <c r="K664" s="170"/>
      <c r="L664" s="170"/>
      <c r="M664" s="170"/>
      <c r="N664" s="171"/>
      <c r="O664" s="171"/>
      <c r="P664" s="148"/>
    </row>
    <row r="665" spans="1:16">
      <c r="A665" s="148"/>
      <c r="B665" s="148"/>
      <c r="C665" s="148"/>
      <c r="D665" s="148"/>
      <c r="E665" s="148"/>
      <c r="F665" s="285"/>
      <c r="G665" s="148"/>
      <c r="H665" s="170"/>
      <c r="I665" s="178"/>
      <c r="J665" s="177"/>
      <c r="K665" s="170"/>
      <c r="L665" s="170"/>
      <c r="M665" s="170"/>
      <c r="N665" s="171"/>
      <c r="O665" s="171"/>
      <c r="P665" s="148"/>
    </row>
    <row r="666" spans="1:16">
      <c r="A666" s="148"/>
      <c r="B666" s="148"/>
      <c r="C666" s="148"/>
      <c r="D666" s="148"/>
      <c r="E666" s="148"/>
      <c r="F666" s="285"/>
      <c r="G666" s="148"/>
      <c r="H666" s="170"/>
      <c r="I666" s="178"/>
      <c r="J666" s="177"/>
      <c r="K666" s="170"/>
      <c r="L666" s="170"/>
      <c r="M666" s="170"/>
      <c r="N666" s="171"/>
      <c r="O666" s="171"/>
      <c r="P666" s="148"/>
    </row>
    <row r="667" spans="1:16">
      <c r="A667" s="148"/>
      <c r="B667" s="148"/>
      <c r="C667" s="148"/>
      <c r="D667" s="148"/>
      <c r="E667" s="148"/>
      <c r="F667" s="285"/>
      <c r="G667" s="148"/>
      <c r="H667" s="170"/>
      <c r="I667" s="178"/>
      <c r="J667" s="177"/>
      <c r="K667" s="170"/>
      <c r="L667" s="170"/>
      <c r="M667" s="170"/>
      <c r="N667" s="171"/>
      <c r="O667" s="171"/>
      <c r="P667" s="148"/>
    </row>
    <row r="668" spans="1:16">
      <c r="A668" s="148"/>
      <c r="B668" s="148"/>
      <c r="C668" s="148"/>
      <c r="D668" s="148"/>
      <c r="E668" s="148"/>
      <c r="F668" s="285"/>
      <c r="G668" s="148"/>
      <c r="H668" s="170"/>
      <c r="I668" s="178"/>
      <c r="J668" s="177"/>
      <c r="K668" s="170"/>
      <c r="L668" s="170"/>
      <c r="M668" s="170"/>
      <c r="N668" s="171"/>
      <c r="O668" s="171"/>
      <c r="P668" s="148"/>
    </row>
    <row r="669" spans="1:16">
      <c r="A669" s="148"/>
      <c r="B669" s="148"/>
      <c r="C669" s="148"/>
      <c r="D669" s="148"/>
      <c r="E669" s="148"/>
      <c r="F669" s="285"/>
      <c r="G669" s="148"/>
      <c r="H669" s="170"/>
      <c r="I669" s="178"/>
      <c r="J669" s="177"/>
      <c r="K669" s="170"/>
      <c r="L669" s="170"/>
      <c r="M669" s="170"/>
      <c r="N669" s="171"/>
      <c r="O669" s="171"/>
      <c r="P669" s="148"/>
    </row>
    <row r="670" spans="1:16">
      <c r="A670" s="148"/>
      <c r="B670" s="148"/>
      <c r="C670" s="148"/>
      <c r="D670" s="148"/>
      <c r="E670" s="148"/>
      <c r="F670" s="285"/>
      <c r="G670" s="148"/>
      <c r="H670" s="170"/>
      <c r="I670" s="178"/>
      <c r="J670" s="177"/>
      <c r="K670" s="170"/>
      <c r="L670" s="170"/>
      <c r="M670" s="170"/>
      <c r="N670" s="171"/>
      <c r="O670" s="171"/>
      <c r="P670" s="148"/>
    </row>
    <row r="671" spans="1:16">
      <c r="A671" s="148"/>
      <c r="B671" s="148"/>
      <c r="C671" s="148"/>
      <c r="D671" s="148"/>
      <c r="E671" s="148"/>
      <c r="F671" s="285"/>
      <c r="G671" s="148"/>
      <c r="H671" s="170"/>
      <c r="I671" s="178"/>
      <c r="J671" s="177"/>
      <c r="K671" s="170"/>
      <c r="L671" s="170"/>
      <c r="M671" s="170"/>
      <c r="N671" s="171"/>
      <c r="O671" s="171"/>
      <c r="P671" s="148"/>
    </row>
    <row r="672" spans="1:16">
      <c r="A672" s="148"/>
      <c r="B672" s="148"/>
      <c r="C672" s="148"/>
      <c r="D672" s="148"/>
      <c r="E672" s="148"/>
      <c r="F672" s="285"/>
      <c r="G672" s="148"/>
      <c r="H672" s="170"/>
      <c r="I672" s="178"/>
      <c r="J672" s="177"/>
      <c r="K672" s="170"/>
      <c r="L672" s="170"/>
      <c r="M672" s="170"/>
      <c r="N672" s="171"/>
      <c r="O672" s="171"/>
      <c r="P672" s="148"/>
    </row>
    <row r="673" spans="1:16">
      <c r="A673" s="148"/>
      <c r="B673" s="148"/>
      <c r="C673" s="148"/>
      <c r="D673" s="148"/>
      <c r="E673" s="148"/>
      <c r="F673" s="285"/>
      <c r="G673" s="148"/>
      <c r="H673" s="170"/>
      <c r="I673" s="178"/>
      <c r="J673" s="177"/>
      <c r="K673" s="170"/>
      <c r="L673" s="170"/>
      <c r="M673" s="170"/>
      <c r="N673" s="171"/>
      <c r="O673" s="171"/>
      <c r="P673" s="148"/>
    </row>
    <row r="674" spans="1:16">
      <c r="A674" s="148"/>
      <c r="B674" s="148"/>
      <c r="C674" s="148"/>
      <c r="D674" s="148"/>
      <c r="E674" s="148"/>
      <c r="F674" s="285"/>
      <c r="G674" s="148"/>
      <c r="H674" s="170"/>
      <c r="I674" s="178"/>
      <c r="J674" s="177"/>
      <c r="K674" s="170"/>
      <c r="L674" s="170"/>
      <c r="M674" s="170"/>
      <c r="N674" s="171"/>
      <c r="O674" s="171"/>
      <c r="P674" s="148"/>
    </row>
    <row r="675" spans="1:16">
      <c r="A675" s="148"/>
      <c r="B675" s="148"/>
      <c r="C675" s="148"/>
      <c r="D675" s="148"/>
      <c r="E675" s="148"/>
      <c r="F675" s="285"/>
      <c r="G675" s="148"/>
      <c r="H675" s="170"/>
      <c r="I675" s="178"/>
      <c r="J675" s="177"/>
      <c r="K675" s="170"/>
      <c r="L675" s="170"/>
      <c r="M675" s="170"/>
      <c r="N675" s="171"/>
      <c r="O675" s="171"/>
      <c r="P675" s="148"/>
    </row>
    <row r="676" spans="1:16">
      <c r="A676" s="148"/>
      <c r="B676" s="148"/>
      <c r="C676" s="148"/>
      <c r="D676" s="148"/>
      <c r="E676" s="148"/>
      <c r="F676" s="285"/>
      <c r="G676" s="148"/>
      <c r="H676" s="170"/>
      <c r="I676" s="178"/>
      <c r="J676" s="177"/>
      <c r="K676" s="170"/>
      <c r="L676" s="170"/>
      <c r="M676" s="170"/>
      <c r="N676" s="171"/>
      <c r="O676" s="171"/>
      <c r="P676" s="148"/>
    </row>
    <row r="677" spans="1:16">
      <c r="A677" s="148"/>
      <c r="B677" s="148"/>
      <c r="C677" s="148"/>
      <c r="D677" s="148"/>
      <c r="E677" s="148"/>
      <c r="F677" s="285"/>
      <c r="G677" s="148"/>
      <c r="H677" s="170"/>
      <c r="I677" s="178"/>
      <c r="J677" s="177"/>
      <c r="K677" s="170"/>
      <c r="L677" s="170"/>
      <c r="M677" s="170"/>
      <c r="N677" s="171"/>
      <c r="O677" s="171"/>
      <c r="P677" s="148"/>
    </row>
    <row r="678" spans="1:16">
      <c r="A678" s="148"/>
      <c r="B678" s="148"/>
      <c r="C678" s="148"/>
      <c r="D678" s="148"/>
      <c r="E678" s="148"/>
      <c r="F678" s="285"/>
      <c r="G678" s="148"/>
      <c r="H678" s="170"/>
      <c r="I678" s="178"/>
      <c r="J678" s="177"/>
      <c r="K678" s="170"/>
      <c r="L678" s="170"/>
      <c r="M678" s="170"/>
      <c r="N678" s="171"/>
      <c r="O678" s="171"/>
      <c r="P678" s="148"/>
    </row>
    <row r="679" spans="1:16">
      <c r="A679" s="148"/>
      <c r="B679" s="148"/>
      <c r="C679" s="148"/>
      <c r="D679" s="148"/>
      <c r="E679" s="148"/>
      <c r="F679" s="285"/>
      <c r="G679" s="148"/>
      <c r="H679" s="170"/>
      <c r="I679" s="178"/>
      <c r="J679" s="177"/>
      <c r="K679" s="170"/>
      <c r="L679" s="170"/>
      <c r="M679" s="170"/>
      <c r="N679" s="171"/>
      <c r="O679" s="171"/>
      <c r="P679" s="148"/>
    </row>
    <row r="680" spans="1:16">
      <c r="A680" s="148"/>
      <c r="B680" s="148"/>
      <c r="C680" s="148"/>
      <c r="D680" s="148"/>
      <c r="E680" s="148"/>
      <c r="F680" s="285"/>
      <c r="G680" s="148"/>
      <c r="H680" s="170"/>
      <c r="I680" s="178"/>
      <c r="J680" s="177"/>
      <c r="K680" s="170"/>
      <c r="L680" s="170"/>
      <c r="M680" s="170"/>
      <c r="N680" s="171"/>
      <c r="O680" s="171"/>
      <c r="P680" s="148"/>
    </row>
    <row r="681" spans="1:16">
      <c r="A681" s="148"/>
      <c r="B681" s="148"/>
      <c r="C681" s="148"/>
      <c r="D681" s="148"/>
      <c r="E681" s="148"/>
      <c r="F681" s="285"/>
      <c r="G681" s="148"/>
      <c r="H681" s="170"/>
      <c r="I681" s="178"/>
      <c r="J681" s="177"/>
      <c r="K681" s="170"/>
      <c r="L681" s="170"/>
      <c r="M681" s="170"/>
      <c r="N681" s="171"/>
      <c r="O681" s="171"/>
      <c r="P681" s="148"/>
    </row>
    <row r="682" spans="1:16">
      <c r="A682" s="148"/>
      <c r="B682" s="148"/>
      <c r="C682" s="148"/>
      <c r="D682" s="148"/>
      <c r="E682" s="148"/>
      <c r="F682" s="285"/>
      <c r="G682" s="148"/>
      <c r="H682" s="170"/>
      <c r="I682" s="178"/>
      <c r="J682" s="177"/>
      <c r="K682" s="170"/>
      <c r="L682" s="170"/>
      <c r="M682" s="170"/>
      <c r="N682" s="171"/>
      <c r="O682" s="171"/>
      <c r="P682" s="148"/>
    </row>
    <row r="683" spans="1:16">
      <c r="A683" s="148"/>
      <c r="B683" s="148"/>
      <c r="C683" s="148"/>
      <c r="D683" s="148"/>
      <c r="E683" s="148"/>
      <c r="F683" s="285"/>
      <c r="G683" s="148"/>
      <c r="H683" s="170"/>
      <c r="I683" s="178"/>
      <c r="J683" s="177"/>
      <c r="K683" s="170"/>
      <c r="L683" s="170"/>
      <c r="M683" s="170"/>
      <c r="N683" s="171"/>
      <c r="O683" s="171"/>
      <c r="P683" s="148"/>
    </row>
    <row r="684" spans="1:16">
      <c r="A684" s="148"/>
      <c r="B684" s="148"/>
      <c r="C684" s="148"/>
      <c r="D684" s="148"/>
      <c r="E684" s="148"/>
      <c r="F684" s="285"/>
      <c r="G684" s="148"/>
      <c r="H684" s="170"/>
      <c r="I684" s="178"/>
      <c r="J684" s="177"/>
      <c r="K684" s="170"/>
      <c r="L684" s="170"/>
      <c r="M684" s="170"/>
      <c r="N684" s="171"/>
      <c r="O684" s="171"/>
      <c r="P684" s="148"/>
    </row>
    <row r="685" spans="1:16">
      <c r="A685" s="148"/>
      <c r="B685" s="148"/>
      <c r="C685" s="148"/>
      <c r="D685" s="148"/>
      <c r="E685" s="148"/>
      <c r="F685" s="285"/>
      <c r="G685" s="148"/>
      <c r="H685" s="170"/>
      <c r="I685" s="178"/>
      <c r="J685" s="177"/>
      <c r="K685" s="170"/>
      <c r="L685" s="170"/>
      <c r="M685" s="170"/>
      <c r="N685" s="171"/>
      <c r="O685" s="171"/>
      <c r="P685" s="148"/>
    </row>
    <row r="686" spans="1:16">
      <c r="A686" s="148"/>
      <c r="B686" s="148"/>
      <c r="C686" s="148"/>
      <c r="D686" s="148"/>
      <c r="E686" s="148"/>
      <c r="F686" s="285"/>
      <c r="G686" s="148"/>
      <c r="H686" s="170"/>
      <c r="I686" s="178"/>
      <c r="J686" s="177"/>
      <c r="K686" s="170"/>
      <c r="L686" s="170"/>
      <c r="M686" s="170"/>
      <c r="N686" s="171"/>
      <c r="O686" s="171"/>
      <c r="P686" s="148"/>
    </row>
    <row r="687" spans="1:16">
      <c r="A687" s="148"/>
      <c r="B687" s="148"/>
      <c r="C687" s="148"/>
      <c r="D687" s="148"/>
      <c r="E687" s="148"/>
      <c r="F687" s="285"/>
      <c r="G687" s="148"/>
      <c r="H687" s="170"/>
      <c r="I687" s="178"/>
      <c r="J687" s="177"/>
      <c r="K687" s="170"/>
      <c r="L687" s="170"/>
      <c r="M687" s="170"/>
      <c r="N687" s="171"/>
      <c r="O687" s="171"/>
      <c r="P687" s="148"/>
    </row>
    <row r="688" spans="1:16">
      <c r="A688" s="148"/>
      <c r="B688" s="148"/>
      <c r="C688" s="148"/>
      <c r="D688" s="148"/>
      <c r="E688" s="148"/>
      <c r="F688" s="285"/>
      <c r="G688" s="148"/>
      <c r="H688" s="170"/>
      <c r="I688" s="178"/>
      <c r="J688" s="177"/>
      <c r="K688" s="170"/>
      <c r="L688" s="170"/>
      <c r="M688" s="170"/>
      <c r="N688" s="171"/>
      <c r="O688" s="171"/>
      <c r="P688" s="148"/>
    </row>
    <row r="689" spans="1:16">
      <c r="A689" s="148"/>
      <c r="B689" s="148"/>
      <c r="C689" s="148"/>
      <c r="D689" s="148"/>
      <c r="E689" s="148"/>
      <c r="F689" s="285"/>
      <c r="G689" s="148"/>
      <c r="H689" s="170"/>
      <c r="I689" s="178"/>
      <c r="J689" s="177"/>
      <c r="K689" s="170"/>
      <c r="L689" s="170"/>
      <c r="M689" s="170"/>
      <c r="N689" s="171"/>
      <c r="O689" s="171"/>
      <c r="P689" s="148"/>
    </row>
    <row r="690" spans="1:16">
      <c r="A690" s="148"/>
      <c r="B690" s="148"/>
      <c r="C690" s="148"/>
      <c r="D690" s="148"/>
      <c r="E690" s="148"/>
      <c r="F690" s="285"/>
      <c r="G690" s="148"/>
      <c r="H690" s="170"/>
      <c r="I690" s="178"/>
      <c r="J690" s="177"/>
      <c r="K690" s="170"/>
      <c r="L690" s="170"/>
      <c r="M690" s="170"/>
      <c r="N690" s="171"/>
      <c r="O690" s="171"/>
      <c r="P690" s="148"/>
    </row>
    <row r="691" spans="1:16">
      <c r="A691" s="148"/>
      <c r="B691" s="148"/>
      <c r="C691" s="148"/>
      <c r="D691" s="148"/>
      <c r="E691" s="148"/>
      <c r="F691" s="285"/>
      <c r="G691" s="148"/>
      <c r="H691" s="170"/>
      <c r="I691" s="178"/>
      <c r="J691" s="177"/>
      <c r="K691" s="170"/>
      <c r="L691" s="170"/>
      <c r="M691" s="170"/>
      <c r="N691" s="171"/>
      <c r="O691" s="171"/>
      <c r="P691" s="148"/>
    </row>
    <row r="692" spans="1:16">
      <c r="A692" s="148"/>
      <c r="B692" s="148"/>
      <c r="C692" s="148"/>
      <c r="D692" s="148"/>
      <c r="E692" s="148"/>
      <c r="F692" s="285"/>
      <c r="G692" s="148"/>
      <c r="H692" s="170"/>
      <c r="I692" s="178"/>
      <c r="J692" s="177"/>
      <c r="K692" s="170"/>
      <c r="L692" s="170"/>
      <c r="M692" s="170"/>
      <c r="N692" s="171"/>
      <c r="O692" s="171"/>
      <c r="P692" s="148"/>
    </row>
    <row r="693" spans="1:16">
      <c r="A693" s="148"/>
      <c r="B693" s="148"/>
      <c r="C693" s="148"/>
      <c r="D693" s="148"/>
      <c r="E693" s="148"/>
      <c r="F693" s="285"/>
      <c r="G693" s="148"/>
      <c r="H693" s="170"/>
      <c r="I693" s="178"/>
      <c r="J693" s="177"/>
      <c r="K693" s="170"/>
      <c r="L693" s="170"/>
      <c r="M693" s="170"/>
      <c r="N693" s="171"/>
      <c r="O693" s="171"/>
      <c r="P693" s="148"/>
    </row>
    <row r="694" spans="1:16">
      <c r="A694" s="148"/>
      <c r="B694" s="148"/>
      <c r="C694" s="148"/>
      <c r="D694" s="148"/>
      <c r="E694" s="148"/>
      <c r="F694" s="285"/>
      <c r="G694" s="148"/>
      <c r="H694" s="170"/>
      <c r="I694" s="178"/>
      <c r="J694" s="177"/>
      <c r="K694" s="170"/>
      <c r="L694" s="170"/>
      <c r="M694" s="170"/>
      <c r="N694" s="171"/>
      <c r="O694" s="171"/>
      <c r="P694" s="148"/>
    </row>
    <row r="695" spans="1:16">
      <c r="A695" s="148"/>
      <c r="B695" s="148"/>
      <c r="C695" s="148"/>
      <c r="D695" s="148"/>
      <c r="E695" s="148"/>
      <c r="F695" s="285"/>
      <c r="G695" s="148"/>
      <c r="H695" s="170"/>
      <c r="I695" s="178"/>
      <c r="J695" s="177"/>
      <c r="K695" s="170"/>
      <c r="L695" s="170"/>
      <c r="M695" s="170"/>
      <c r="N695" s="171"/>
      <c r="O695" s="171"/>
      <c r="P695" s="148"/>
    </row>
    <row r="696" spans="1:16">
      <c r="A696" s="148"/>
      <c r="B696" s="148"/>
      <c r="C696" s="148"/>
      <c r="D696" s="148"/>
      <c r="E696" s="148"/>
      <c r="F696" s="285"/>
      <c r="G696" s="148"/>
      <c r="H696" s="170"/>
      <c r="I696" s="178"/>
      <c r="J696" s="177"/>
      <c r="K696" s="170"/>
      <c r="L696" s="170"/>
      <c r="M696" s="170"/>
      <c r="N696" s="171"/>
      <c r="O696" s="171"/>
      <c r="P696" s="148"/>
    </row>
    <row r="697" spans="1:16">
      <c r="A697" s="148"/>
      <c r="B697" s="148"/>
      <c r="C697" s="148"/>
      <c r="D697" s="148"/>
      <c r="E697" s="148"/>
      <c r="F697" s="285"/>
      <c r="G697" s="148"/>
      <c r="H697" s="170"/>
      <c r="I697" s="178"/>
      <c r="J697" s="177"/>
      <c r="K697" s="170"/>
      <c r="L697" s="170"/>
      <c r="M697" s="170"/>
      <c r="N697" s="171"/>
      <c r="O697" s="171"/>
      <c r="P697" s="148"/>
    </row>
    <row r="698" spans="1:16">
      <c r="A698" s="148"/>
      <c r="B698" s="148"/>
      <c r="C698" s="148"/>
      <c r="D698" s="148"/>
      <c r="E698" s="148"/>
      <c r="F698" s="285"/>
      <c r="G698" s="148"/>
      <c r="H698" s="170"/>
      <c r="I698" s="178"/>
      <c r="J698" s="177"/>
      <c r="K698" s="170"/>
      <c r="L698" s="170"/>
      <c r="M698" s="170"/>
      <c r="N698" s="171"/>
      <c r="O698" s="171"/>
      <c r="P698" s="148"/>
    </row>
    <row r="699" spans="1:16">
      <c r="A699" s="148"/>
      <c r="B699" s="148"/>
      <c r="C699" s="148"/>
      <c r="D699" s="148"/>
      <c r="E699" s="148"/>
      <c r="F699" s="285"/>
      <c r="G699" s="148"/>
      <c r="H699" s="170"/>
      <c r="I699" s="178"/>
      <c r="J699" s="177"/>
      <c r="K699" s="170"/>
      <c r="L699" s="170"/>
      <c r="M699" s="170"/>
      <c r="N699" s="171"/>
      <c r="O699" s="171"/>
      <c r="P699" s="148"/>
    </row>
    <row r="700" spans="1:16">
      <c r="A700" s="148"/>
      <c r="B700" s="148"/>
      <c r="C700" s="148"/>
      <c r="D700" s="148"/>
      <c r="E700" s="148"/>
      <c r="F700" s="285"/>
      <c r="G700" s="148"/>
      <c r="H700" s="170"/>
      <c r="I700" s="178"/>
      <c r="J700" s="177"/>
      <c r="K700" s="170"/>
      <c r="L700" s="170"/>
      <c r="M700" s="170"/>
      <c r="N700" s="171"/>
      <c r="O700" s="171"/>
      <c r="P700" s="148"/>
    </row>
    <row r="701" spans="1:16">
      <c r="A701" s="148"/>
      <c r="B701" s="148"/>
      <c r="C701" s="148"/>
      <c r="D701" s="148"/>
      <c r="E701" s="148"/>
      <c r="F701" s="285"/>
      <c r="G701" s="148"/>
      <c r="H701" s="170"/>
      <c r="I701" s="178"/>
      <c r="J701" s="177"/>
      <c r="K701" s="170"/>
      <c r="L701" s="170"/>
      <c r="M701" s="170"/>
      <c r="N701" s="171"/>
      <c r="O701" s="171"/>
      <c r="P701" s="148"/>
    </row>
    <row r="702" spans="1:16">
      <c r="A702" s="148"/>
      <c r="B702" s="148"/>
      <c r="C702" s="148"/>
      <c r="D702" s="148"/>
      <c r="E702" s="148"/>
      <c r="F702" s="285"/>
      <c r="G702" s="148"/>
      <c r="H702" s="170"/>
      <c r="I702" s="178"/>
      <c r="J702" s="177"/>
      <c r="K702" s="170"/>
      <c r="L702" s="170"/>
      <c r="M702" s="170"/>
      <c r="N702" s="171"/>
      <c r="O702" s="171"/>
      <c r="P702" s="148"/>
    </row>
    <row r="703" spans="1:16">
      <c r="A703" s="148"/>
      <c r="B703" s="148"/>
      <c r="C703" s="148"/>
      <c r="D703" s="148"/>
      <c r="E703" s="148"/>
      <c r="F703" s="285"/>
      <c r="G703" s="148"/>
      <c r="H703" s="170"/>
      <c r="I703" s="178"/>
      <c r="J703" s="177"/>
      <c r="K703" s="170"/>
      <c r="L703" s="170"/>
      <c r="M703" s="170"/>
      <c r="N703" s="171"/>
      <c r="O703" s="171"/>
      <c r="P703" s="148"/>
    </row>
    <row r="704" spans="1:16">
      <c r="A704" s="148"/>
      <c r="B704" s="148"/>
      <c r="C704" s="148"/>
      <c r="D704" s="148"/>
      <c r="E704" s="148"/>
      <c r="F704" s="285"/>
      <c r="G704" s="148"/>
      <c r="H704" s="170"/>
      <c r="I704" s="178"/>
      <c r="J704" s="177"/>
      <c r="K704" s="170"/>
      <c r="L704" s="170"/>
      <c r="M704" s="170"/>
      <c r="N704" s="171"/>
      <c r="O704" s="171"/>
      <c r="P704" s="148"/>
    </row>
    <row r="705" spans="1:16">
      <c r="A705" s="148"/>
      <c r="B705" s="148"/>
      <c r="C705" s="148"/>
      <c r="D705" s="148"/>
      <c r="E705" s="148"/>
      <c r="F705" s="285"/>
      <c r="G705" s="148"/>
      <c r="H705" s="170"/>
      <c r="I705" s="178"/>
      <c r="J705" s="177"/>
      <c r="K705" s="170"/>
      <c r="L705" s="170"/>
      <c r="M705" s="170"/>
      <c r="N705" s="171"/>
      <c r="O705" s="171"/>
      <c r="P705" s="148"/>
    </row>
    <row r="706" spans="1:16">
      <c r="A706" s="148"/>
      <c r="B706" s="148"/>
      <c r="C706" s="148"/>
      <c r="D706" s="148"/>
      <c r="E706" s="148"/>
      <c r="F706" s="285"/>
      <c r="G706" s="148"/>
      <c r="H706" s="170"/>
      <c r="I706" s="178"/>
      <c r="J706" s="177"/>
      <c r="K706" s="170"/>
      <c r="L706" s="170"/>
      <c r="M706" s="170"/>
      <c r="N706" s="171"/>
      <c r="O706" s="171"/>
      <c r="P706" s="148"/>
    </row>
    <row r="707" spans="1:16">
      <c r="A707" s="148"/>
      <c r="B707" s="148"/>
      <c r="C707" s="148"/>
      <c r="D707" s="148"/>
      <c r="E707" s="148"/>
      <c r="F707" s="285"/>
      <c r="G707" s="148"/>
      <c r="H707" s="170"/>
      <c r="I707" s="178"/>
      <c r="J707" s="177"/>
      <c r="K707" s="170"/>
      <c r="L707" s="170"/>
      <c r="M707" s="170"/>
      <c r="N707" s="171"/>
      <c r="O707" s="171"/>
      <c r="P707" s="148"/>
    </row>
    <row r="708" spans="1:16">
      <c r="A708" s="148"/>
      <c r="B708" s="148"/>
      <c r="C708" s="148"/>
      <c r="D708" s="148"/>
      <c r="E708" s="148"/>
      <c r="F708" s="285"/>
      <c r="G708" s="148"/>
      <c r="H708" s="170"/>
      <c r="I708" s="178"/>
      <c r="J708" s="177"/>
      <c r="K708" s="170"/>
      <c r="L708" s="170"/>
      <c r="M708" s="170"/>
      <c r="N708" s="171"/>
      <c r="O708" s="171"/>
      <c r="P708" s="148"/>
    </row>
    <row r="709" spans="1:16">
      <c r="A709" s="148"/>
      <c r="B709" s="148"/>
      <c r="C709" s="148"/>
      <c r="D709" s="148"/>
      <c r="E709" s="148"/>
      <c r="F709" s="285"/>
      <c r="G709" s="148"/>
      <c r="H709" s="170"/>
      <c r="I709" s="178"/>
      <c r="J709" s="177"/>
      <c r="K709" s="170"/>
      <c r="L709" s="170"/>
      <c r="M709" s="170"/>
      <c r="N709" s="171"/>
      <c r="O709" s="171"/>
      <c r="P709" s="148"/>
    </row>
    <row r="710" spans="1:16">
      <c r="A710" s="148"/>
      <c r="B710" s="148"/>
      <c r="C710" s="148"/>
      <c r="D710" s="148"/>
      <c r="E710" s="148"/>
      <c r="F710" s="285"/>
      <c r="G710" s="148"/>
      <c r="H710" s="170"/>
      <c r="I710" s="178"/>
      <c r="J710" s="177"/>
      <c r="K710" s="170"/>
      <c r="L710" s="170"/>
      <c r="M710" s="170"/>
      <c r="N710" s="171"/>
      <c r="O710" s="171"/>
      <c r="P710" s="148"/>
    </row>
    <row r="711" spans="1:16">
      <c r="A711" s="148"/>
      <c r="B711" s="148"/>
      <c r="C711" s="148"/>
      <c r="D711" s="148"/>
      <c r="E711" s="148"/>
      <c r="F711" s="285"/>
      <c r="G711" s="148"/>
      <c r="H711" s="170"/>
      <c r="I711" s="178"/>
      <c r="J711" s="177"/>
      <c r="K711" s="170"/>
      <c r="L711" s="170"/>
      <c r="M711" s="170"/>
      <c r="N711" s="171"/>
      <c r="O711" s="171"/>
      <c r="P711" s="148"/>
    </row>
    <row r="712" spans="1:16">
      <c r="A712" s="148"/>
      <c r="B712" s="148"/>
      <c r="C712" s="148"/>
      <c r="D712" s="148"/>
      <c r="E712" s="148"/>
      <c r="F712" s="285"/>
      <c r="G712" s="148"/>
      <c r="H712" s="170"/>
      <c r="I712" s="178"/>
      <c r="J712" s="177"/>
      <c r="K712" s="170"/>
      <c r="L712" s="170"/>
      <c r="M712" s="170"/>
      <c r="N712" s="171"/>
      <c r="O712" s="171"/>
      <c r="P712" s="148"/>
    </row>
    <row r="713" spans="1:16">
      <c r="A713" s="148"/>
      <c r="B713" s="148"/>
      <c r="C713" s="148"/>
      <c r="D713" s="148"/>
      <c r="E713" s="148"/>
      <c r="F713" s="285"/>
      <c r="G713" s="148"/>
      <c r="H713" s="170"/>
      <c r="I713" s="178"/>
      <c r="J713" s="177"/>
      <c r="K713" s="170"/>
      <c r="L713" s="170"/>
      <c r="M713" s="170"/>
      <c r="N713" s="171"/>
      <c r="O713" s="171"/>
      <c r="P713" s="148"/>
    </row>
    <row r="714" spans="1:16">
      <c r="A714" s="148"/>
      <c r="B714" s="148"/>
      <c r="C714" s="148"/>
      <c r="D714" s="148"/>
      <c r="E714" s="148"/>
      <c r="F714" s="285"/>
      <c r="G714" s="148"/>
      <c r="H714" s="170"/>
      <c r="I714" s="178"/>
      <c r="J714" s="177"/>
      <c r="K714" s="170"/>
      <c r="L714" s="170"/>
      <c r="M714" s="170"/>
      <c r="N714" s="171"/>
      <c r="O714" s="171"/>
      <c r="P714" s="148"/>
    </row>
    <row r="715" spans="1:16">
      <c r="A715" s="148"/>
      <c r="B715" s="148"/>
      <c r="C715" s="148"/>
      <c r="D715" s="148"/>
      <c r="E715" s="148"/>
      <c r="F715" s="285"/>
      <c r="G715" s="148"/>
      <c r="H715" s="170"/>
      <c r="I715" s="178"/>
      <c r="J715" s="177"/>
      <c r="K715" s="170"/>
      <c r="L715" s="170"/>
      <c r="M715" s="170"/>
      <c r="N715" s="171"/>
      <c r="O715" s="171"/>
      <c r="P715" s="148"/>
    </row>
    <row r="716" spans="1:16">
      <c r="A716" s="148"/>
      <c r="B716" s="148"/>
      <c r="C716" s="148"/>
      <c r="D716" s="148"/>
      <c r="E716" s="148"/>
      <c r="F716" s="285"/>
      <c r="G716" s="148"/>
      <c r="H716" s="170"/>
      <c r="I716" s="178"/>
      <c r="J716" s="177"/>
      <c r="K716" s="170"/>
      <c r="L716" s="170"/>
      <c r="M716" s="170"/>
      <c r="N716" s="171"/>
      <c r="O716" s="171"/>
      <c r="P716" s="148"/>
    </row>
    <row r="717" spans="1:16">
      <c r="A717" s="148"/>
      <c r="B717" s="148"/>
      <c r="C717" s="148"/>
      <c r="D717" s="148"/>
      <c r="E717" s="148"/>
      <c r="F717" s="285"/>
      <c r="G717" s="148"/>
      <c r="H717" s="170"/>
      <c r="I717" s="178"/>
      <c r="J717" s="177"/>
      <c r="K717" s="170"/>
      <c r="L717" s="170"/>
      <c r="M717" s="170"/>
      <c r="N717" s="171"/>
      <c r="O717" s="171"/>
      <c r="P717" s="148"/>
    </row>
    <row r="718" spans="1:16">
      <c r="A718" s="148"/>
      <c r="B718" s="148"/>
      <c r="C718" s="148"/>
      <c r="D718" s="148"/>
      <c r="E718" s="148"/>
      <c r="F718" s="285"/>
      <c r="G718" s="148"/>
      <c r="H718" s="170"/>
      <c r="I718" s="178"/>
      <c r="J718" s="177"/>
      <c r="K718" s="170"/>
      <c r="L718" s="170"/>
      <c r="M718" s="170"/>
      <c r="N718" s="171"/>
      <c r="O718" s="171"/>
      <c r="P718" s="148"/>
    </row>
    <row r="719" spans="1:16">
      <c r="A719" s="148"/>
      <c r="B719" s="148"/>
      <c r="C719" s="148"/>
      <c r="D719" s="148"/>
      <c r="E719" s="148"/>
      <c r="F719" s="285"/>
      <c r="G719" s="148"/>
      <c r="H719" s="170"/>
      <c r="I719" s="178"/>
      <c r="J719" s="177"/>
      <c r="K719" s="170"/>
      <c r="L719" s="170"/>
      <c r="M719" s="170"/>
      <c r="N719" s="171"/>
      <c r="O719" s="171"/>
      <c r="P719" s="148"/>
    </row>
    <row r="720" spans="1:16">
      <c r="A720" s="148"/>
      <c r="B720" s="148"/>
      <c r="C720" s="148"/>
      <c r="D720" s="148"/>
      <c r="E720" s="148"/>
      <c r="F720" s="285"/>
      <c r="G720" s="148"/>
      <c r="H720" s="170"/>
      <c r="I720" s="178"/>
      <c r="J720" s="177"/>
      <c r="K720" s="170"/>
      <c r="L720" s="170"/>
      <c r="M720" s="170"/>
      <c r="N720" s="171"/>
      <c r="O720" s="171"/>
      <c r="P720" s="148"/>
    </row>
    <row r="721" spans="1:16">
      <c r="A721" s="148"/>
      <c r="B721" s="148"/>
      <c r="C721" s="148"/>
      <c r="D721" s="148"/>
      <c r="E721" s="148"/>
      <c r="F721" s="285"/>
      <c r="G721" s="148"/>
      <c r="H721" s="170"/>
      <c r="I721" s="178"/>
      <c r="J721" s="177"/>
      <c r="K721" s="170"/>
      <c r="L721" s="170"/>
      <c r="M721" s="170"/>
      <c r="N721" s="171"/>
      <c r="O721" s="171"/>
      <c r="P721" s="148"/>
    </row>
    <row r="722" spans="1:16">
      <c r="A722" s="148"/>
      <c r="B722" s="148"/>
      <c r="C722" s="148"/>
      <c r="D722" s="148"/>
      <c r="E722" s="148"/>
      <c r="F722" s="285"/>
      <c r="G722" s="148"/>
      <c r="H722" s="170"/>
      <c r="I722" s="178"/>
      <c r="J722" s="177"/>
      <c r="K722" s="170"/>
      <c r="L722" s="170"/>
      <c r="M722" s="170"/>
      <c r="N722" s="171"/>
      <c r="O722" s="171"/>
      <c r="P722" s="148"/>
    </row>
    <row r="723" spans="1:16">
      <c r="A723" s="148"/>
      <c r="B723" s="148"/>
      <c r="C723" s="148"/>
      <c r="D723" s="148"/>
      <c r="E723" s="148"/>
      <c r="F723" s="285"/>
      <c r="G723" s="148"/>
      <c r="H723" s="170"/>
      <c r="I723" s="178"/>
      <c r="J723" s="177"/>
      <c r="K723" s="170"/>
      <c r="L723" s="170"/>
      <c r="M723" s="170"/>
      <c r="N723" s="171"/>
      <c r="O723" s="171"/>
      <c r="P723" s="148"/>
    </row>
    <row r="724" spans="1:16">
      <c r="A724" s="148"/>
      <c r="B724" s="148"/>
      <c r="C724" s="148"/>
      <c r="D724" s="148"/>
      <c r="E724" s="148"/>
      <c r="F724" s="285"/>
      <c r="G724" s="148"/>
      <c r="H724" s="170"/>
      <c r="I724" s="178"/>
      <c r="J724" s="177"/>
      <c r="K724" s="170"/>
      <c r="L724" s="170"/>
      <c r="M724" s="170"/>
      <c r="N724" s="171"/>
      <c r="O724" s="171"/>
      <c r="P724" s="148"/>
    </row>
    <row r="725" spans="1:16">
      <c r="A725" s="148"/>
      <c r="B725" s="148"/>
      <c r="C725" s="148"/>
      <c r="D725" s="148"/>
      <c r="E725" s="148"/>
      <c r="F725" s="285"/>
      <c r="G725" s="148"/>
      <c r="H725" s="170"/>
      <c r="I725" s="178"/>
      <c r="J725" s="177"/>
      <c r="K725" s="170"/>
      <c r="L725" s="170"/>
      <c r="M725" s="170"/>
      <c r="N725" s="171"/>
      <c r="O725" s="171"/>
      <c r="P725" s="148"/>
    </row>
    <row r="726" spans="1:16">
      <c r="A726" s="148"/>
      <c r="B726" s="148"/>
      <c r="C726" s="148"/>
      <c r="D726" s="148"/>
      <c r="E726" s="148"/>
      <c r="F726" s="285"/>
      <c r="G726" s="148"/>
      <c r="H726" s="170"/>
      <c r="I726" s="178"/>
      <c r="J726" s="177"/>
      <c r="K726" s="170"/>
      <c r="L726" s="170"/>
      <c r="M726" s="170"/>
      <c r="N726" s="171"/>
      <c r="O726" s="171"/>
      <c r="P726" s="148"/>
    </row>
    <row r="727" spans="1:16">
      <c r="A727" s="148"/>
      <c r="B727" s="148"/>
      <c r="C727" s="148"/>
      <c r="D727" s="148"/>
      <c r="E727" s="148"/>
      <c r="F727" s="285"/>
      <c r="G727" s="148"/>
      <c r="H727" s="170"/>
      <c r="I727" s="178"/>
      <c r="J727" s="177"/>
      <c r="K727" s="170"/>
      <c r="L727" s="170"/>
      <c r="M727" s="170"/>
      <c r="N727" s="171"/>
      <c r="O727" s="171"/>
      <c r="P727" s="148"/>
    </row>
    <row r="728" spans="1:16">
      <c r="A728" s="148"/>
      <c r="B728" s="148"/>
      <c r="C728" s="148"/>
      <c r="D728" s="148"/>
      <c r="E728" s="148"/>
      <c r="F728" s="285"/>
      <c r="G728" s="148"/>
      <c r="H728" s="170"/>
      <c r="I728" s="178"/>
      <c r="J728" s="177"/>
      <c r="K728" s="170"/>
      <c r="L728" s="170"/>
      <c r="M728" s="170"/>
      <c r="N728" s="171"/>
      <c r="O728" s="171"/>
      <c r="P728" s="148"/>
    </row>
    <row r="729" spans="1:16">
      <c r="A729" s="148"/>
      <c r="B729" s="148"/>
      <c r="C729" s="148"/>
      <c r="D729" s="148"/>
      <c r="E729" s="148"/>
      <c r="F729" s="285"/>
      <c r="G729" s="148"/>
      <c r="H729" s="170"/>
      <c r="I729" s="178"/>
      <c r="J729" s="177"/>
      <c r="K729" s="170"/>
      <c r="L729" s="170"/>
      <c r="M729" s="170"/>
      <c r="N729" s="171"/>
      <c r="O729" s="171"/>
      <c r="P729" s="148"/>
    </row>
    <row r="730" spans="1:16">
      <c r="A730" s="148"/>
      <c r="B730" s="148"/>
      <c r="C730" s="148"/>
      <c r="D730" s="148"/>
      <c r="E730" s="148"/>
      <c r="F730" s="285"/>
      <c r="G730" s="148"/>
      <c r="H730" s="170"/>
      <c r="I730" s="178"/>
      <c r="J730" s="177"/>
      <c r="K730" s="170"/>
      <c r="L730" s="170"/>
      <c r="M730" s="170"/>
      <c r="N730" s="171"/>
      <c r="O730" s="171"/>
      <c r="P730" s="148"/>
    </row>
    <row r="731" spans="1:16">
      <c r="A731" s="148"/>
      <c r="B731" s="148"/>
      <c r="C731" s="148"/>
      <c r="D731" s="148"/>
      <c r="E731" s="148"/>
      <c r="F731" s="285"/>
      <c r="G731" s="148"/>
      <c r="H731" s="170"/>
      <c r="I731" s="178"/>
      <c r="J731" s="177"/>
      <c r="K731" s="170"/>
      <c r="L731" s="170"/>
      <c r="M731" s="170"/>
      <c r="N731" s="171"/>
      <c r="O731" s="171"/>
      <c r="P731" s="148"/>
    </row>
    <row r="732" spans="1:16">
      <c r="A732" s="148"/>
      <c r="B732" s="148"/>
      <c r="C732" s="148"/>
      <c r="D732" s="148"/>
      <c r="E732" s="148"/>
      <c r="F732" s="285"/>
      <c r="G732" s="148"/>
      <c r="H732" s="170"/>
      <c r="I732" s="178"/>
      <c r="J732" s="177"/>
      <c r="K732" s="170"/>
      <c r="L732" s="170"/>
      <c r="M732" s="170"/>
      <c r="N732" s="171"/>
      <c r="O732" s="171"/>
      <c r="P732" s="148"/>
    </row>
    <row r="733" spans="1:16">
      <c r="A733" s="148"/>
      <c r="B733" s="148"/>
      <c r="C733" s="148"/>
      <c r="D733" s="148"/>
      <c r="E733" s="148"/>
      <c r="F733" s="285"/>
      <c r="G733" s="148"/>
      <c r="H733" s="170"/>
      <c r="I733" s="178"/>
      <c r="J733" s="177"/>
      <c r="K733" s="170"/>
      <c r="L733" s="170"/>
      <c r="M733" s="170"/>
      <c r="N733" s="171"/>
      <c r="O733" s="171"/>
      <c r="P733" s="148"/>
    </row>
    <row r="734" spans="1:16">
      <c r="A734" s="148"/>
      <c r="B734" s="148"/>
      <c r="C734" s="148"/>
      <c r="D734" s="148"/>
      <c r="E734" s="148"/>
      <c r="F734" s="285"/>
      <c r="G734" s="148"/>
      <c r="H734" s="170"/>
      <c r="I734" s="178"/>
      <c r="J734" s="177"/>
      <c r="K734" s="170"/>
      <c r="L734" s="170"/>
      <c r="M734" s="170"/>
      <c r="N734" s="171"/>
      <c r="O734" s="171"/>
      <c r="P734" s="148"/>
    </row>
    <row r="735" spans="1:16">
      <c r="A735" s="148"/>
      <c r="B735" s="148"/>
      <c r="C735" s="148"/>
      <c r="D735" s="148"/>
      <c r="E735" s="148"/>
      <c r="F735" s="285"/>
      <c r="G735" s="148"/>
      <c r="H735" s="170"/>
      <c r="I735" s="178"/>
      <c r="J735" s="177"/>
      <c r="K735" s="170"/>
      <c r="L735" s="170"/>
      <c r="M735" s="170"/>
      <c r="N735" s="171"/>
      <c r="O735" s="171"/>
      <c r="P735" s="148"/>
    </row>
    <row r="736" spans="1:16">
      <c r="A736" s="148"/>
      <c r="B736" s="148"/>
      <c r="C736" s="148"/>
      <c r="D736" s="148"/>
      <c r="E736" s="148"/>
      <c r="F736" s="285"/>
      <c r="G736" s="148"/>
      <c r="H736" s="170"/>
      <c r="I736" s="178"/>
      <c r="J736" s="177"/>
      <c r="K736" s="170"/>
      <c r="L736" s="170"/>
      <c r="M736" s="170"/>
      <c r="N736" s="171"/>
      <c r="O736" s="171"/>
      <c r="P736" s="148"/>
    </row>
    <row r="737" spans="1:16">
      <c r="A737" s="148"/>
      <c r="B737" s="148"/>
      <c r="C737" s="148"/>
      <c r="D737" s="148"/>
      <c r="E737" s="148"/>
      <c r="F737" s="285"/>
      <c r="G737" s="148"/>
      <c r="H737" s="170"/>
      <c r="I737" s="178"/>
      <c r="J737" s="177"/>
      <c r="K737" s="170"/>
      <c r="L737" s="170"/>
      <c r="M737" s="170"/>
      <c r="N737" s="171"/>
      <c r="O737" s="171"/>
      <c r="P737" s="148"/>
    </row>
    <row r="738" spans="1:16">
      <c r="A738" s="148"/>
      <c r="B738" s="148"/>
      <c r="C738" s="148"/>
      <c r="D738" s="148"/>
      <c r="E738" s="148"/>
      <c r="F738" s="285"/>
      <c r="G738" s="148"/>
      <c r="H738" s="170"/>
      <c r="I738" s="178"/>
      <c r="J738" s="177"/>
      <c r="K738" s="170"/>
      <c r="L738" s="170"/>
      <c r="M738" s="170"/>
      <c r="N738" s="171"/>
      <c r="O738" s="171"/>
      <c r="P738" s="148"/>
    </row>
    <row r="739" spans="1:16">
      <c r="A739" s="148"/>
      <c r="B739" s="148"/>
      <c r="C739" s="148"/>
      <c r="D739" s="148"/>
      <c r="E739" s="148"/>
      <c r="F739" s="285"/>
      <c r="G739" s="148"/>
      <c r="H739" s="170"/>
      <c r="I739" s="178"/>
      <c r="J739" s="177"/>
      <c r="K739" s="170"/>
      <c r="L739" s="170"/>
      <c r="M739" s="170"/>
      <c r="N739" s="171"/>
      <c r="O739" s="171"/>
      <c r="P739" s="148"/>
    </row>
    <row r="740" spans="1:16">
      <c r="A740" s="148"/>
      <c r="B740" s="148"/>
      <c r="C740" s="148"/>
      <c r="D740" s="148"/>
      <c r="E740" s="148"/>
      <c r="F740" s="285"/>
      <c r="G740" s="148"/>
      <c r="H740" s="170"/>
      <c r="I740" s="178"/>
      <c r="J740" s="177"/>
      <c r="K740" s="170"/>
      <c r="L740" s="170"/>
      <c r="M740" s="170"/>
      <c r="N740" s="171"/>
      <c r="O740" s="171"/>
      <c r="P740" s="148"/>
    </row>
    <row r="741" spans="1:16">
      <c r="A741" s="148"/>
      <c r="B741" s="148"/>
      <c r="C741" s="148"/>
      <c r="D741" s="148"/>
      <c r="E741" s="148"/>
      <c r="F741" s="285"/>
      <c r="G741" s="148"/>
      <c r="H741" s="170"/>
      <c r="I741" s="178"/>
      <c r="J741" s="177"/>
      <c r="K741" s="170"/>
      <c r="L741" s="170"/>
      <c r="M741" s="170"/>
      <c r="N741" s="171"/>
      <c r="O741" s="171"/>
      <c r="P741" s="148"/>
    </row>
    <row r="742" spans="1:16">
      <c r="A742" s="148"/>
      <c r="B742" s="148"/>
      <c r="C742" s="148"/>
      <c r="D742" s="148"/>
      <c r="E742" s="148"/>
      <c r="F742" s="285"/>
      <c r="G742" s="148"/>
      <c r="H742" s="170"/>
      <c r="I742" s="178"/>
      <c r="J742" s="177"/>
      <c r="K742" s="170"/>
      <c r="L742" s="170"/>
      <c r="M742" s="170"/>
      <c r="N742" s="171"/>
      <c r="O742" s="171"/>
      <c r="P742" s="148"/>
    </row>
    <row r="743" spans="1:16">
      <c r="A743" s="148"/>
      <c r="B743" s="148"/>
      <c r="C743" s="148"/>
      <c r="D743" s="148"/>
      <c r="E743" s="148"/>
      <c r="F743" s="285"/>
      <c r="G743" s="148"/>
      <c r="H743" s="170"/>
      <c r="I743" s="178"/>
      <c r="J743" s="177"/>
      <c r="K743" s="170"/>
      <c r="L743" s="170"/>
      <c r="M743" s="170"/>
      <c r="N743" s="171"/>
      <c r="O743" s="171"/>
      <c r="P743" s="148"/>
    </row>
    <row r="744" spans="1:16">
      <c r="A744" s="148"/>
      <c r="B744" s="148"/>
      <c r="C744" s="148"/>
      <c r="D744" s="148"/>
      <c r="E744" s="148"/>
      <c r="F744" s="285"/>
      <c r="G744" s="148"/>
      <c r="H744" s="170"/>
      <c r="I744" s="178"/>
      <c r="J744" s="177"/>
      <c r="K744" s="170"/>
      <c r="L744" s="170"/>
      <c r="M744" s="170"/>
      <c r="N744" s="171"/>
      <c r="O744" s="171"/>
      <c r="P744" s="148"/>
    </row>
    <row r="745" spans="1:16">
      <c r="A745" s="148"/>
      <c r="B745" s="148"/>
      <c r="C745" s="148"/>
      <c r="D745" s="148"/>
      <c r="E745" s="148"/>
      <c r="F745" s="285"/>
      <c r="G745" s="148"/>
      <c r="H745" s="170"/>
      <c r="I745" s="178"/>
      <c r="J745" s="177"/>
      <c r="K745" s="170"/>
      <c r="L745" s="170"/>
      <c r="M745" s="170"/>
      <c r="N745" s="171"/>
      <c r="O745" s="171"/>
      <c r="P745" s="148"/>
    </row>
    <row r="746" spans="1:16">
      <c r="A746" s="148"/>
      <c r="B746" s="148"/>
      <c r="C746" s="148"/>
      <c r="D746" s="148"/>
      <c r="E746" s="148"/>
      <c r="F746" s="285"/>
      <c r="G746" s="148"/>
      <c r="H746" s="170"/>
      <c r="I746" s="178"/>
      <c r="J746" s="177"/>
      <c r="K746" s="170"/>
      <c r="L746" s="170"/>
      <c r="M746" s="170"/>
      <c r="N746" s="171"/>
      <c r="O746" s="171"/>
      <c r="P746" s="148"/>
    </row>
    <row r="747" spans="1:16">
      <c r="A747" s="148"/>
      <c r="B747" s="148"/>
      <c r="C747" s="148"/>
      <c r="D747" s="148"/>
      <c r="E747" s="148"/>
      <c r="F747" s="285"/>
      <c r="G747" s="148"/>
      <c r="H747" s="170"/>
      <c r="I747" s="178"/>
      <c r="J747" s="177"/>
      <c r="K747" s="170"/>
      <c r="L747" s="170"/>
      <c r="M747" s="170"/>
      <c r="N747" s="171"/>
      <c r="O747" s="171"/>
      <c r="P747" s="148"/>
    </row>
    <row r="748" spans="1:16">
      <c r="A748" s="148"/>
      <c r="B748" s="148"/>
      <c r="C748" s="148"/>
      <c r="D748" s="148"/>
      <c r="E748" s="148"/>
      <c r="F748" s="285"/>
      <c r="G748" s="148"/>
      <c r="H748" s="170"/>
      <c r="I748" s="178"/>
      <c r="J748" s="177"/>
      <c r="K748" s="170"/>
      <c r="L748" s="170"/>
      <c r="M748" s="170"/>
      <c r="N748" s="171"/>
      <c r="O748" s="171"/>
      <c r="P748" s="148"/>
    </row>
    <row r="749" spans="1:16">
      <c r="A749" s="148"/>
      <c r="B749" s="148"/>
      <c r="C749" s="148"/>
      <c r="D749" s="148"/>
      <c r="E749" s="148"/>
      <c r="F749" s="285"/>
      <c r="G749" s="148"/>
      <c r="H749" s="170"/>
      <c r="I749" s="178"/>
      <c r="J749" s="177"/>
      <c r="K749" s="170"/>
      <c r="L749" s="170"/>
      <c r="M749" s="170"/>
      <c r="N749" s="171"/>
      <c r="O749" s="171"/>
      <c r="P749" s="148"/>
    </row>
    <row r="750" spans="1:16">
      <c r="A750" s="148"/>
      <c r="B750" s="148"/>
      <c r="C750" s="148"/>
      <c r="D750" s="148"/>
      <c r="E750" s="148"/>
      <c r="F750" s="285"/>
      <c r="G750" s="148"/>
      <c r="H750" s="170"/>
      <c r="I750" s="178"/>
      <c r="J750" s="177"/>
      <c r="K750" s="170"/>
      <c r="L750" s="170"/>
      <c r="M750" s="170"/>
      <c r="N750" s="171"/>
      <c r="O750" s="171"/>
      <c r="P750" s="148"/>
    </row>
    <row r="751" spans="1:16">
      <c r="A751" s="148"/>
      <c r="B751" s="148"/>
      <c r="C751" s="148"/>
      <c r="D751" s="148"/>
      <c r="E751" s="148"/>
      <c r="F751" s="285"/>
      <c r="G751" s="148"/>
      <c r="H751" s="170"/>
      <c r="I751" s="178"/>
      <c r="J751" s="177"/>
      <c r="K751" s="170"/>
      <c r="L751" s="170"/>
      <c r="M751" s="170"/>
      <c r="N751" s="171"/>
      <c r="O751" s="171"/>
      <c r="P751" s="148"/>
    </row>
    <row r="752" spans="1:16">
      <c r="A752" s="148"/>
      <c r="B752" s="148"/>
      <c r="C752" s="148"/>
      <c r="D752" s="148"/>
      <c r="E752" s="148"/>
      <c r="F752" s="285"/>
      <c r="G752" s="148"/>
      <c r="H752" s="170"/>
      <c r="I752" s="178"/>
      <c r="J752" s="177"/>
      <c r="K752" s="170"/>
      <c r="L752" s="170"/>
      <c r="M752" s="170"/>
      <c r="N752" s="171"/>
      <c r="O752" s="171"/>
      <c r="P752" s="148"/>
    </row>
    <row r="753" spans="1:16">
      <c r="A753" s="148"/>
      <c r="B753" s="148"/>
      <c r="C753" s="148"/>
      <c r="D753" s="148"/>
      <c r="E753" s="148"/>
      <c r="F753" s="285"/>
      <c r="G753" s="148"/>
      <c r="H753" s="170"/>
      <c r="I753" s="178"/>
      <c r="J753" s="177"/>
      <c r="K753" s="170"/>
      <c r="L753" s="170"/>
      <c r="M753" s="170"/>
      <c r="N753" s="171"/>
      <c r="O753" s="171"/>
      <c r="P753" s="148"/>
    </row>
    <row r="754" spans="1:16">
      <c r="A754" s="148"/>
      <c r="B754" s="148"/>
      <c r="C754" s="148"/>
      <c r="D754" s="148"/>
      <c r="E754" s="148"/>
      <c r="F754" s="285"/>
      <c r="G754" s="148"/>
      <c r="H754" s="170"/>
      <c r="I754" s="178"/>
      <c r="J754" s="177"/>
      <c r="K754" s="170"/>
      <c r="L754" s="170"/>
      <c r="M754" s="170"/>
      <c r="N754" s="171"/>
      <c r="O754" s="171"/>
      <c r="P754" s="148"/>
    </row>
    <row r="755" spans="1:16">
      <c r="A755" s="148"/>
      <c r="B755" s="148"/>
      <c r="C755" s="148"/>
      <c r="D755" s="148"/>
      <c r="E755" s="148"/>
      <c r="F755" s="285"/>
      <c r="G755" s="148"/>
      <c r="H755" s="170"/>
      <c r="I755" s="178"/>
      <c r="J755" s="177"/>
      <c r="K755" s="170"/>
      <c r="L755" s="170"/>
      <c r="M755" s="170"/>
      <c r="N755" s="171"/>
      <c r="O755" s="171"/>
      <c r="P755" s="148"/>
    </row>
    <row r="756" spans="1:16">
      <c r="A756" s="148"/>
      <c r="B756" s="148"/>
      <c r="C756" s="148"/>
      <c r="D756" s="148"/>
      <c r="E756" s="148"/>
      <c r="F756" s="285"/>
      <c r="G756" s="148"/>
      <c r="H756" s="170"/>
      <c r="I756" s="178"/>
      <c r="J756" s="177"/>
      <c r="K756" s="170"/>
      <c r="L756" s="170"/>
      <c r="M756" s="170"/>
      <c r="N756" s="171"/>
      <c r="O756" s="171"/>
      <c r="P756" s="148"/>
    </row>
    <row r="757" spans="1:16">
      <c r="A757" s="148"/>
      <c r="B757" s="148"/>
      <c r="C757" s="148"/>
      <c r="D757" s="148"/>
      <c r="E757" s="148"/>
      <c r="F757" s="285"/>
      <c r="G757" s="148"/>
      <c r="H757" s="170"/>
      <c r="I757" s="178"/>
      <c r="J757" s="177"/>
      <c r="K757" s="170"/>
      <c r="L757" s="170"/>
      <c r="M757" s="170"/>
      <c r="N757" s="171"/>
      <c r="O757" s="171"/>
      <c r="P757" s="148"/>
    </row>
    <row r="758" spans="1:16">
      <c r="A758" s="148"/>
      <c r="B758" s="148"/>
      <c r="C758" s="148"/>
      <c r="D758" s="148"/>
      <c r="E758" s="148"/>
      <c r="F758" s="285"/>
      <c r="G758" s="148"/>
      <c r="H758" s="170"/>
      <c r="I758" s="178"/>
      <c r="J758" s="177"/>
      <c r="K758" s="170"/>
      <c r="L758" s="170"/>
      <c r="M758" s="170"/>
      <c r="N758" s="171"/>
      <c r="O758" s="171"/>
      <c r="P758" s="148"/>
    </row>
    <row r="759" spans="1:16">
      <c r="A759" s="148"/>
      <c r="B759" s="148"/>
      <c r="C759" s="148"/>
      <c r="D759" s="148"/>
      <c r="E759" s="148"/>
      <c r="F759" s="285"/>
      <c r="G759" s="148"/>
      <c r="H759" s="170"/>
      <c r="I759" s="178"/>
      <c r="J759" s="177"/>
      <c r="K759" s="170"/>
      <c r="L759" s="170"/>
      <c r="M759" s="170"/>
      <c r="N759" s="171"/>
      <c r="O759" s="171"/>
      <c r="P759" s="148"/>
    </row>
    <row r="760" spans="1:16">
      <c r="A760" s="148"/>
      <c r="B760" s="148"/>
      <c r="C760" s="148"/>
      <c r="D760" s="148"/>
      <c r="E760" s="148"/>
      <c r="F760" s="285"/>
      <c r="G760" s="148"/>
      <c r="H760" s="170"/>
      <c r="I760" s="178"/>
      <c r="J760" s="177"/>
      <c r="K760" s="170"/>
      <c r="L760" s="170"/>
      <c r="M760" s="170"/>
      <c r="N760" s="171"/>
      <c r="O760" s="171"/>
      <c r="P760" s="148"/>
    </row>
    <row r="761" spans="1:16">
      <c r="A761" s="148"/>
      <c r="B761" s="148"/>
      <c r="C761" s="148"/>
      <c r="D761" s="148"/>
      <c r="E761" s="148"/>
      <c r="F761" s="285"/>
      <c r="G761" s="148"/>
      <c r="H761" s="170"/>
      <c r="I761" s="178"/>
      <c r="J761" s="177"/>
      <c r="K761" s="170"/>
      <c r="L761" s="170"/>
      <c r="M761" s="170"/>
      <c r="N761" s="171"/>
      <c r="O761" s="171"/>
      <c r="P761" s="148"/>
    </row>
    <row r="762" spans="1:16">
      <c r="A762" s="148"/>
      <c r="B762" s="148"/>
      <c r="C762" s="148"/>
      <c r="D762" s="148"/>
      <c r="E762" s="148"/>
      <c r="F762" s="285"/>
      <c r="G762" s="148"/>
      <c r="H762" s="170"/>
      <c r="I762" s="178"/>
      <c r="J762" s="177"/>
      <c r="K762" s="170"/>
      <c r="L762" s="170"/>
      <c r="M762" s="170"/>
      <c r="N762" s="171"/>
      <c r="O762" s="171"/>
      <c r="P762" s="148"/>
    </row>
    <row r="763" spans="1:16">
      <c r="A763" s="148"/>
      <c r="B763" s="148"/>
      <c r="C763" s="148"/>
      <c r="D763" s="148"/>
      <c r="E763" s="148"/>
      <c r="F763" s="285"/>
      <c r="G763" s="148"/>
      <c r="H763" s="170"/>
      <c r="I763" s="178"/>
      <c r="J763" s="177"/>
      <c r="K763" s="170"/>
      <c r="L763" s="170"/>
      <c r="M763" s="170"/>
      <c r="N763" s="171"/>
      <c r="O763" s="171"/>
      <c r="P763" s="148"/>
    </row>
    <row r="764" spans="1:16">
      <c r="A764" s="148"/>
      <c r="B764" s="148"/>
      <c r="C764" s="148"/>
      <c r="D764" s="148"/>
      <c r="E764" s="148"/>
      <c r="F764" s="285"/>
      <c r="G764" s="148"/>
      <c r="H764" s="170"/>
      <c r="I764" s="178"/>
      <c r="J764" s="177"/>
      <c r="K764" s="170"/>
      <c r="L764" s="170"/>
      <c r="M764" s="170"/>
      <c r="N764" s="171"/>
      <c r="O764" s="171"/>
      <c r="P764" s="148"/>
    </row>
    <row r="765" spans="1:16">
      <c r="A765" s="148"/>
      <c r="B765" s="148"/>
      <c r="C765" s="148"/>
      <c r="D765" s="148"/>
      <c r="E765" s="148"/>
      <c r="F765" s="285"/>
      <c r="G765" s="148"/>
      <c r="H765" s="170"/>
      <c r="I765" s="178"/>
      <c r="J765" s="177"/>
      <c r="K765" s="170"/>
      <c r="L765" s="170"/>
      <c r="M765" s="170"/>
      <c r="N765" s="171"/>
      <c r="O765" s="171"/>
      <c r="P765" s="148"/>
    </row>
    <row r="766" spans="1:16">
      <c r="A766" s="148"/>
      <c r="B766" s="148"/>
      <c r="C766" s="148"/>
      <c r="D766" s="148"/>
      <c r="E766" s="148"/>
      <c r="F766" s="285"/>
      <c r="G766" s="148"/>
      <c r="H766" s="170"/>
      <c r="I766" s="178"/>
      <c r="J766" s="177"/>
      <c r="K766" s="170"/>
      <c r="L766" s="170"/>
      <c r="M766" s="170"/>
      <c r="N766" s="171"/>
      <c r="O766" s="171"/>
      <c r="P766" s="148"/>
    </row>
    <row r="767" spans="1:16">
      <c r="A767" s="148"/>
      <c r="B767" s="148"/>
      <c r="C767" s="148"/>
      <c r="D767" s="148"/>
      <c r="E767" s="148"/>
      <c r="F767" s="285"/>
      <c r="G767" s="148"/>
      <c r="H767" s="170"/>
      <c r="I767" s="178"/>
      <c r="J767" s="177"/>
      <c r="K767" s="170"/>
      <c r="L767" s="170"/>
      <c r="M767" s="170"/>
      <c r="N767" s="171"/>
      <c r="O767" s="171"/>
      <c r="P767" s="148"/>
    </row>
    <row r="768" spans="1:16">
      <c r="A768" s="148"/>
      <c r="B768" s="148"/>
      <c r="C768" s="148"/>
      <c r="D768" s="148"/>
      <c r="E768" s="148"/>
      <c r="F768" s="285"/>
      <c r="G768" s="148"/>
      <c r="H768" s="170"/>
      <c r="I768" s="178"/>
      <c r="J768" s="177"/>
      <c r="K768" s="170"/>
      <c r="L768" s="170"/>
      <c r="M768" s="170"/>
      <c r="N768" s="171"/>
      <c r="O768" s="171"/>
      <c r="P768" s="148"/>
    </row>
    <row r="769" spans="1:16">
      <c r="A769" s="148"/>
      <c r="B769" s="148"/>
      <c r="C769" s="148"/>
      <c r="D769" s="148"/>
      <c r="E769" s="148"/>
      <c r="F769" s="285"/>
      <c r="G769" s="148"/>
      <c r="H769" s="170"/>
      <c r="I769" s="178"/>
      <c r="J769" s="177"/>
      <c r="K769" s="170"/>
      <c r="L769" s="170"/>
      <c r="M769" s="170"/>
      <c r="N769" s="171"/>
      <c r="O769" s="171"/>
      <c r="P769" s="148"/>
    </row>
    <row r="770" spans="1:16">
      <c r="A770" s="148"/>
      <c r="B770" s="148"/>
      <c r="C770" s="148"/>
      <c r="D770" s="148"/>
      <c r="E770" s="148"/>
      <c r="F770" s="285"/>
      <c r="G770" s="148"/>
      <c r="H770" s="170"/>
      <c r="I770" s="178"/>
      <c r="J770" s="177"/>
      <c r="K770" s="170"/>
      <c r="L770" s="170"/>
      <c r="M770" s="170"/>
      <c r="N770" s="171"/>
      <c r="O770" s="171"/>
      <c r="P770" s="148"/>
    </row>
    <row r="771" spans="1:16">
      <c r="A771" s="148"/>
      <c r="B771" s="148"/>
      <c r="C771" s="148"/>
      <c r="D771" s="148"/>
      <c r="E771" s="148"/>
      <c r="F771" s="285"/>
      <c r="G771" s="148"/>
      <c r="H771" s="170"/>
      <c r="I771" s="178"/>
      <c r="J771" s="177"/>
      <c r="K771" s="170"/>
      <c r="L771" s="170"/>
      <c r="M771" s="170"/>
      <c r="N771" s="171"/>
      <c r="O771" s="171"/>
      <c r="P771" s="148"/>
    </row>
    <row r="772" spans="1:16">
      <c r="A772" s="148"/>
      <c r="B772" s="148"/>
      <c r="C772" s="148"/>
      <c r="D772" s="148"/>
      <c r="E772" s="148"/>
      <c r="F772" s="285"/>
      <c r="G772" s="148"/>
      <c r="H772" s="170"/>
      <c r="I772" s="178"/>
      <c r="J772" s="177"/>
      <c r="K772" s="170"/>
      <c r="L772" s="170"/>
      <c r="M772" s="170"/>
      <c r="N772" s="171"/>
      <c r="O772" s="171"/>
      <c r="P772" s="148"/>
    </row>
    <row r="773" spans="1:16">
      <c r="A773" s="148"/>
      <c r="B773" s="148"/>
      <c r="C773" s="148"/>
      <c r="D773" s="148"/>
      <c r="E773" s="148"/>
      <c r="F773" s="285"/>
      <c r="G773" s="148"/>
      <c r="H773" s="170"/>
      <c r="I773" s="178"/>
      <c r="J773" s="177"/>
      <c r="K773" s="170"/>
      <c r="L773" s="170"/>
      <c r="M773" s="170"/>
      <c r="N773" s="171"/>
      <c r="O773" s="171"/>
      <c r="P773" s="148"/>
    </row>
    <row r="774" spans="1:16">
      <c r="A774" s="148"/>
      <c r="B774" s="148"/>
      <c r="C774" s="148"/>
      <c r="D774" s="148"/>
      <c r="E774" s="148"/>
      <c r="F774" s="285"/>
      <c r="G774" s="148"/>
      <c r="H774" s="170"/>
      <c r="I774" s="178"/>
      <c r="J774" s="177"/>
      <c r="K774" s="170"/>
      <c r="L774" s="170"/>
      <c r="M774" s="170"/>
      <c r="N774" s="171"/>
      <c r="O774" s="171"/>
      <c r="P774" s="148"/>
    </row>
    <row r="775" spans="1:16">
      <c r="A775" s="148"/>
      <c r="B775" s="148"/>
      <c r="C775" s="148"/>
      <c r="D775" s="148"/>
      <c r="E775" s="148"/>
      <c r="F775" s="285"/>
      <c r="G775" s="148"/>
      <c r="H775" s="170"/>
      <c r="I775" s="178"/>
      <c r="J775" s="177"/>
      <c r="K775" s="170"/>
      <c r="L775" s="170"/>
      <c r="M775" s="170"/>
      <c r="N775" s="171"/>
      <c r="O775" s="171"/>
      <c r="P775" s="148"/>
    </row>
    <row r="776" spans="1:16">
      <c r="A776" s="148"/>
      <c r="B776" s="148"/>
      <c r="C776" s="148"/>
      <c r="D776" s="148"/>
      <c r="E776" s="148"/>
      <c r="F776" s="285"/>
      <c r="G776" s="148"/>
      <c r="H776" s="170"/>
      <c r="I776" s="178"/>
      <c r="J776" s="177"/>
      <c r="K776" s="170"/>
      <c r="L776" s="170"/>
      <c r="M776" s="170"/>
      <c r="N776" s="171"/>
      <c r="O776" s="171"/>
      <c r="P776" s="148"/>
    </row>
    <row r="777" spans="1:16">
      <c r="A777" s="148"/>
      <c r="B777" s="148"/>
      <c r="C777" s="148"/>
      <c r="D777" s="148"/>
      <c r="E777" s="148"/>
      <c r="F777" s="285"/>
      <c r="G777" s="148"/>
      <c r="H777" s="170"/>
      <c r="I777" s="178"/>
      <c r="J777" s="177"/>
      <c r="K777" s="170"/>
      <c r="L777" s="170"/>
      <c r="M777" s="170"/>
      <c r="N777" s="171"/>
      <c r="O777" s="171"/>
      <c r="P777" s="148"/>
    </row>
    <row r="778" spans="1:16">
      <c r="A778" s="148"/>
      <c r="B778" s="148"/>
      <c r="C778" s="148"/>
      <c r="D778" s="148"/>
      <c r="E778" s="148"/>
      <c r="F778" s="285"/>
      <c r="G778" s="148"/>
      <c r="H778" s="170"/>
      <c r="I778" s="178"/>
      <c r="J778" s="177"/>
      <c r="K778" s="170"/>
      <c r="L778" s="170"/>
      <c r="M778" s="170"/>
      <c r="N778" s="171"/>
      <c r="O778" s="171"/>
      <c r="P778" s="148"/>
    </row>
    <row r="779" spans="1:16">
      <c r="A779" s="148"/>
      <c r="B779" s="148"/>
      <c r="C779" s="148"/>
      <c r="D779" s="148"/>
      <c r="E779" s="148"/>
      <c r="F779" s="285"/>
      <c r="G779" s="148"/>
      <c r="H779" s="170"/>
      <c r="I779" s="178"/>
      <c r="J779" s="177"/>
      <c r="K779" s="170"/>
      <c r="L779" s="170"/>
      <c r="M779" s="170"/>
      <c r="N779" s="171"/>
      <c r="O779" s="171"/>
      <c r="P779" s="148"/>
    </row>
    <row r="780" spans="1:16">
      <c r="A780" s="148"/>
      <c r="B780" s="148"/>
      <c r="C780" s="148"/>
      <c r="D780" s="148"/>
      <c r="E780" s="148"/>
      <c r="F780" s="285"/>
      <c r="G780" s="148"/>
      <c r="H780" s="170"/>
      <c r="I780" s="178"/>
      <c r="J780" s="177"/>
      <c r="K780" s="170"/>
      <c r="L780" s="170"/>
      <c r="M780" s="170"/>
      <c r="N780" s="171"/>
      <c r="O780" s="171"/>
      <c r="P780" s="148"/>
    </row>
    <row r="781" spans="1:16">
      <c r="A781" s="148"/>
      <c r="B781" s="148"/>
      <c r="C781" s="148"/>
      <c r="D781" s="148"/>
      <c r="E781" s="148"/>
      <c r="F781" s="285"/>
      <c r="G781" s="148"/>
      <c r="H781" s="170"/>
      <c r="I781" s="178"/>
      <c r="J781" s="177"/>
      <c r="K781" s="170"/>
      <c r="L781" s="170"/>
      <c r="M781" s="170"/>
      <c r="N781" s="171"/>
      <c r="O781" s="171"/>
      <c r="P781" s="148"/>
    </row>
    <row r="782" spans="1:16">
      <c r="A782" s="148"/>
      <c r="B782" s="148"/>
      <c r="C782" s="148"/>
      <c r="D782" s="148"/>
      <c r="E782" s="148"/>
      <c r="F782" s="285"/>
      <c r="G782" s="148"/>
      <c r="H782" s="170"/>
      <c r="I782" s="178"/>
      <c r="J782" s="177"/>
      <c r="K782" s="170"/>
      <c r="L782" s="170"/>
      <c r="M782" s="170"/>
      <c r="N782" s="171"/>
      <c r="O782" s="171"/>
      <c r="P782" s="148"/>
    </row>
    <row r="783" spans="1:16">
      <c r="A783" s="148"/>
      <c r="B783" s="148"/>
      <c r="C783" s="148"/>
      <c r="D783" s="148"/>
      <c r="E783" s="148"/>
      <c r="F783" s="285"/>
      <c r="G783" s="148"/>
      <c r="H783" s="170"/>
      <c r="I783" s="178"/>
      <c r="J783" s="177"/>
      <c r="K783" s="170"/>
      <c r="L783" s="170"/>
      <c r="M783" s="170"/>
      <c r="N783" s="171"/>
      <c r="O783" s="171"/>
      <c r="P783" s="148"/>
    </row>
    <row r="784" spans="1:16">
      <c r="A784" s="148"/>
      <c r="B784" s="148"/>
      <c r="C784" s="148"/>
      <c r="D784" s="148"/>
      <c r="E784" s="148"/>
      <c r="F784" s="285"/>
      <c r="G784" s="148"/>
      <c r="H784" s="170"/>
      <c r="I784" s="178"/>
      <c r="J784" s="177"/>
      <c r="K784" s="170"/>
      <c r="L784" s="170"/>
      <c r="M784" s="170"/>
      <c r="N784" s="171"/>
      <c r="O784" s="171"/>
      <c r="P784" s="148"/>
    </row>
    <row r="785" spans="1:16">
      <c r="A785" s="148"/>
      <c r="B785" s="148"/>
      <c r="C785" s="148"/>
      <c r="D785" s="148"/>
      <c r="E785" s="148"/>
      <c r="F785" s="285"/>
      <c r="G785" s="148"/>
      <c r="H785" s="170"/>
      <c r="I785" s="178"/>
      <c r="J785" s="177"/>
      <c r="K785" s="170"/>
      <c r="L785" s="170"/>
      <c r="M785" s="170"/>
      <c r="N785" s="171"/>
      <c r="O785" s="171"/>
      <c r="P785" s="148"/>
    </row>
    <row r="786" spans="1:16">
      <c r="A786" s="148"/>
      <c r="B786" s="148"/>
      <c r="C786" s="148"/>
      <c r="D786" s="148"/>
      <c r="E786" s="148"/>
      <c r="F786" s="285"/>
      <c r="G786" s="148"/>
      <c r="H786" s="170"/>
      <c r="I786" s="178"/>
      <c r="J786" s="177"/>
      <c r="K786" s="170"/>
      <c r="L786" s="170"/>
      <c r="M786" s="170"/>
      <c r="N786" s="171"/>
      <c r="O786" s="171"/>
      <c r="P786" s="148"/>
    </row>
    <row r="787" spans="1:16">
      <c r="A787" s="148"/>
      <c r="B787" s="148"/>
      <c r="C787" s="148"/>
      <c r="D787" s="148"/>
      <c r="E787" s="148"/>
      <c r="F787" s="285"/>
      <c r="G787" s="148"/>
      <c r="H787" s="170"/>
      <c r="I787" s="178"/>
      <c r="J787" s="177"/>
      <c r="K787" s="170"/>
      <c r="L787" s="170"/>
      <c r="M787" s="170"/>
      <c r="N787" s="171"/>
      <c r="O787" s="171"/>
      <c r="P787" s="148"/>
    </row>
    <row r="788" spans="1:16">
      <c r="A788" s="163"/>
      <c r="B788" s="203"/>
      <c r="C788" s="163"/>
      <c r="D788" s="163"/>
      <c r="E788" s="163"/>
      <c r="F788" s="286"/>
      <c r="G788" s="163"/>
      <c r="H788" s="164"/>
      <c r="I788" s="165"/>
      <c r="J788" s="166"/>
      <c r="K788" s="164"/>
      <c r="L788" s="164"/>
      <c r="M788" s="164"/>
      <c r="N788" s="167"/>
      <c r="O788" s="167"/>
      <c r="P788" s="163"/>
    </row>
    <row r="789" spans="1:16">
      <c r="A789" s="1"/>
      <c r="B789" s="204"/>
      <c r="C789" s="1"/>
      <c r="D789" s="1"/>
      <c r="E789" s="1"/>
      <c r="F789" s="279"/>
      <c r="G789" s="1"/>
      <c r="H789" s="4"/>
      <c r="I789" s="49"/>
      <c r="J789" s="34"/>
      <c r="K789" s="4"/>
      <c r="L789" s="4"/>
      <c r="M789" s="4"/>
      <c r="N789" s="2"/>
      <c r="O789" s="2"/>
      <c r="P789" s="1"/>
    </row>
    <row r="790" spans="1:16">
      <c r="A790" s="1"/>
      <c r="B790" s="204"/>
      <c r="C790" s="1"/>
      <c r="D790" s="1"/>
      <c r="E790" s="1"/>
      <c r="F790" s="279"/>
      <c r="G790" s="1"/>
      <c r="H790" s="4"/>
      <c r="I790" s="49"/>
      <c r="J790" s="34"/>
      <c r="K790" s="4"/>
      <c r="L790" s="4"/>
      <c r="M790" s="4"/>
      <c r="N790" s="2"/>
      <c r="O790" s="2"/>
      <c r="P790" s="1"/>
    </row>
    <row r="791" spans="1:16">
      <c r="A791" s="1"/>
      <c r="B791" s="204"/>
      <c r="C791" s="1"/>
      <c r="D791" s="1"/>
      <c r="E791" s="1"/>
      <c r="F791" s="279"/>
      <c r="G791" s="1"/>
      <c r="H791" s="4"/>
      <c r="I791" s="49"/>
      <c r="J791" s="34"/>
      <c r="K791" s="4"/>
      <c r="L791" s="4"/>
      <c r="M791" s="4"/>
      <c r="N791" s="2"/>
      <c r="O791" s="2"/>
      <c r="P791" s="1"/>
    </row>
    <row r="792" spans="1:16">
      <c r="A792" s="1"/>
      <c r="B792" s="204"/>
      <c r="C792" s="1"/>
      <c r="D792" s="1"/>
      <c r="E792" s="1"/>
      <c r="F792" s="279"/>
      <c r="G792" s="1"/>
      <c r="H792" s="4"/>
      <c r="I792" s="49"/>
      <c r="J792" s="34"/>
      <c r="K792" s="4"/>
      <c r="L792" s="4"/>
      <c r="M792" s="4"/>
      <c r="N792" s="2"/>
      <c r="O792" s="2"/>
      <c r="P792" s="1"/>
    </row>
    <row r="793" spans="1:16">
      <c r="A793" s="1"/>
      <c r="B793" s="204"/>
      <c r="C793" s="1"/>
      <c r="D793" s="1"/>
      <c r="E793" s="1"/>
      <c r="F793" s="279"/>
      <c r="G793" s="1"/>
      <c r="H793" s="4"/>
      <c r="I793" s="49"/>
      <c r="J793" s="34"/>
      <c r="K793" s="4"/>
      <c r="L793" s="4"/>
      <c r="M793" s="4"/>
      <c r="N793" s="2"/>
      <c r="O793" s="2"/>
      <c r="P793" s="1"/>
    </row>
    <row r="794" spans="1:16">
      <c r="A794" s="1"/>
      <c r="B794" s="204"/>
      <c r="C794" s="1"/>
      <c r="D794" s="1"/>
      <c r="E794" s="1"/>
      <c r="F794" s="279"/>
      <c r="G794" s="1"/>
      <c r="H794" s="4"/>
      <c r="I794" s="49"/>
      <c r="J794" s="34"/>
      <c r="K794" s="4"/>
      <c r="L794" s="4"/>
      <c r="M794" s="4"/>
      <c r="N794" s="2"/>
      <c r="O794" s="2"/>
      <c r="P794" s="1"/>
    </row>
    <row r="795" spans="1:16">
      <c r="A795" s="1"/>
      <c r="B795" s="204"/>
      <c r="C795" s="1"/>
      <c r="D795" s="1"/>
      <c r="E795" s="1"/>
      <c r="F795" s="279"/>
      <c r="G795" s="1"/>
      <c r="H795" s="4"/>
      <c r="I795" s="49"/>
      <c r="J795" s="34"/>
      <c r="K795" s="4"/>
      <c r="L795" s="4"/>
      <c r="M795" s="4"/>
      <c r="N795" s="2"/>
      <c r="O795" s="2"/>
      <c r="P795" s="1"/>
    </row>
    <row r="796" spans="1:16">
      <c r="A796" s="1"/>
      <c r="B796" s="204"/>
      <c r="C796" s="1"/>
      <c r="D796" s="1"/>
      <c r="E796" s="1"/>
      <c r="F796" s="279"/>
      <c r="G796" s="1"/>
      <c r="H796" s="4"/>
      <c r="I796" s="49"/>
      <c r="J796" s="34"/>
      <c r="K796" s="4"/>
      <c r="L796" s="4"/>
      <c r="M796" s="4"/>
      <c r="N796" s="2"/>
      <c r="O796" s="2"/>
      <c r="P796" s="1"/>
    </row>
    <row r="797" spans="1:16">
      <c r="A797" s="1"/>
      <c r="B797" s="204"/>
      <c r="C797" s="1"/>
      <c r="D797" s="1"/>
      <c r="E797" s="1"/>
      <c r="F797" s="279"/>
      <c r="G797" s="1"/>
      <c r="H797" s="4"/>
      <c r="I797" s="49"/>
      <c r="J797" s="34"/>
      <c r="K797" s="4"/>
      <c r="L797" s="4"/>
      <c r="M797" s="4"/>
      <c r="N797" s="2"/>
      <c r="O797" s="2"/>
      <c r="P797" s="1"/>
    </row>
    <row r="798" spans="1:16">
      <c r="A798" s="1"/>
      <c r="B798" s="204"/>
      <c r="C798" s="1"/>
      <c r="D798" s="1"/>
      <c r="E798" s="1"/>
      <c r="F798" s="279"/>
      <c r="G798" s="1"/>
      <c r="H798" s="4"/>
      <c r="I798" s="49"/>
      <c r="J798" s="34"/>
      <c r="K798" s="4"/>
      <c r="L798" s="4"/>
      <c r="M798" s="4"/>
      <c r="N798" s="2"/>
      <c r="O798" s="2"/>
      <c r="P798" s="1"/>
    </row>
    <row r="799" spans="1:16">
      <c r="A799" s="1"/>
      <c r="B799" s="204"/>
      <c r="C799" s="1"/>
      <c r="D799" s="1"/>
      <c r="E799" s="1"/>
      <c r="F799" s="279"/>
      <c r="G799" s="1"/>
      <c r="H799" s="4"/>
      <c r="I799" s="49"/>
      <c r="J799" s="34"/>
      <c r="K799" s="4"/>
      <c r="L799" s="4"/>
      <c r="M799" s="4"/>
      <c r="N799" s="2"/>
      <c r="O799" s="2"/>
      <c r="P799" s="1"/>
    </row>
    <row r="800" spans="1:16">
      <c r="A800" s="1"/>
      <c r="B800" s="204"/>
      <c r="C800" s="1"/>
      <c r="D800" s="1"/>
      <c r="E800" s="1"/>
      <c r="F800" s="279"/>
      <c r="G800" s="1"/>
      <c r="H800" s="4"/>
      <c r="I800" s="49"/>
      <c r="J800" s="34"/>
      <c r="K800" s="4"/>
      <c r="L800" s="4"/>
      <c r="M800" s="4"/>
      <c r="N800" s="2"/>
      <c r="O800" s="2"/>
      <c r="P800" s="1"/>
    </row>
    <row r="801" spans="1:16">
      <c r="A801" s="1"/>
      <c r="B801" s="204"/>
      <c r="C801" s="1"/>
      <c r="D801" s="1"/>
      <c r="E801" s="1"/>
      <c r="F801" s="279"/>
      <c r="G801" s="1"/>
      <c r="H801" s="4"/>
      <c r="I801" s="49"/>
      <c r="J801" s="34"/>
      <c r="K801" s="4"/>
      <c r="L801" s="4"/>
      <c r="M801" s="4"/>
      <c r="N801" s="2"/>
      <c r="O801" s="2"/>
      <c r="P801" s="1"/>
    </row>
    <row r="802" spans="1:16">
      <c r="A802" s="1"/>
      <c r="B802" s="204"/>
      <c r="C802" s="1"/>
      <c r="D802" s="1"/>
      <c r="E802" s="1"/>
      <c r="F802" s="279"/>
      <c r="G802" s="1"/>
      <c r="H802" s="4"/>
      <c r="I802" s="49"/>
      <c r="J802" s="34"/>
      <c r="K802" s="4"/>
      <c r="L802" s="4"/>
      <c r="M802" s="4"/>
      <c r="N802" s="2"/>
      <c r="O802" s="2"/>
      <c r="P802" s="1"/>
    </row>
    <row r="803" spans="1:16">
      <c r="A803" s="1"/>
      <c r="B803" s="204"/>
      <c r="C803" s="1"/>
      <c r="D803" s="1"/>
      <c r="E803" s="1"/>
      <c r="F803" s="279"/>
      <c r="G803" s="1"/>
      <c r="H803" s="4"/>
      <c r="I803" s="49"/>
      <c r="J803" s="34"/>
      <c r="K803" s="4"/>
      <c r="L803" s="4"/>
      <c r="M803" s="4"/>
      <c r="N803" s="2"/>
      <c r="O803" s="2"/>
      <c r="P803" s="1"/>
    </row>
    <row r="804" spans="1:16">
      <c r="A804" s="1"/>
      <c r="B804" s="204"/>
      <c r="C804" s="1"/>
      <c r="D804" s="1"/>
      <c r="E804" s="1"/>
      <c r="F804" s="279"/>
      <c r="G804" s="1"/>
      <c r="H804" s="4"/>
      <c r="I804" s="49"/>
      <c r="J804" s="34"/>
      <c r="K804" s="4"/>
      <c r="L804" s="4"/>
      <c r="M804" s="4"/>
      <c r="N804" s="2"/>
      <c r="O804" s="2"/>
      <c r="P804" s="1"/>
    </row>
    <row r="805" spans="1:16">
      <c r="A805" s="1"/>
      <c r="B805" s="204"/>
      <c r="C805" s="1"/>
      <c r="D805" s="1"/>
      <c r="E805" s="1"/>
      <c r="F805" s="279"/>
      <c r="G805" s="1"/>
      <c r="H805" s="4"/>
      <c r="I805" s="49"/>
      <c r="J805" s="34"/>
      <c r="K805" s="4"/>
      <c r="L805" s="4"/>
      <c r="M805" s="4"/>
      <c r="N805" s="2"/>
      <c r="O805" s="2"/>
      <c r="P805" s="1"/>
    </row>
    <row r="806" spans="1:16">
      <c r="A806" s="1"/>
      <c r="B806" s="204"/>
      <c r="C806" s="1"/>
      <c r="D806" s="1"/>
      <c r="E806" s="1"/>
      <c r="F806" s="279"/>
      <c r="G806" s="1"/>
      <c r="H806" s="4"/>
      <c r="I806" s="49"/>
      <c r="J806" s="34"/>
      <c r="K806" s="4"/>
      <c r="L806" s="4"/>
      <c r="M806" s="4"/>
      <c r="N806" s="2"/>
      <c r="O806" s="2"/>
      <c r="P806" s="1"/>
    </row>
    <row r="807" spans="1:16">
      <c r="A807" s="1"/>
      <c r="B807" s="204"/>
      <c r="C807" s="1"/>
      <c r="D807" s="1"/>
      <c r="E807" s="1"/>
      <c r="F807" s="279"/>
      <c r="G807" s="1"/>
      <c r="H807" s="4"/>
      <c r="I807" s="49"/>
      <c r="J807" s="34"/>
      <c r="K807" s="4"/>
      <c r="L807" s="4"/>
      <c r="M807" s="4"/>
      <c r="N807" s="2"/>
      <c r="O807" s="2"/>
      <c r="P807" s="1"/>
    </row>
    <row r="808" spans="1:16">
      <c r="A808" s="1"/>
      <c r="B808" s="204"/>
      <c r="C808" s="1"/>
      <c r="D808" s="1"/>
      <c r="E808" s="1"/>
      <c r="F808" s="279"/>
      <c r="G808" s="1"/>
      <c r="H808" s="4"/>
      <c r="I808" s="49"/>
      <c r="J808" s="34"/>
      <c r="K808" s="4"/>
      <c r="L808" s="4"/>
      <c r="M808" s="4"/>
      <c r="N808" s="2"/>
      <c r="O808" s="2"/>
      <c r="P808" s="1"/>
    </row>
    <row r="809" spans="1:16">
      <c r="A809" s="1"/>
      <c r="B809" s="204"/>
      <c r="C809" s="1"/>
      <c r="D809" s="1"/>
      <c r="E809" s="1"/>
      <c r="F809" s="279"/>
      <c r="G809" s="1"/>
      <c r="H809" s="4"/>
      <c r="I809" s="49"/>
      <c r="J809" s="34"/>
      <c r="K809" s="4"/>
      <c r="L809" s="4"/>
      <c r="M809" s="4"/>
      <c r="N809" s="2"/>
      <c r="O809" s="2"/>
      <c r="P809" s="1"/>
    </row>
    <row r="810" spans="1:16">
      <c r="A810" s="1"/>
      <c r="B810" s="204"/>
      <c r="C810" s="1"/>
      <c r="D810" s="1"/>
      <c r="E810" s="1"/>
      <c r="F810" s="279"/>
      <c r="G810" s="1"/>
      <c r="H810" s="4"/>
      <c r="I810" s="49"/>
      <c r="J810" s="34"/>
      <c r="K810" s="4"/>
      <c r="L810" s="4"/>
      <c r="M810" s="4"/>
      <c r="N810" s="2"/>
      <c r="O810" s="2"/>
      <c r="P810" s="1"/>
    </row>
    <row r="811" spans="1:16">
      <c r="A811" s="1"/>
      <c r="B811" s="204"/>
      <c r="C811" s="1"/>
      <c r="D811" s="1"/>
      <c r="E811" s="1"/>
      <c r="F811" s="279"/>
      <c r="G811" s="1"/>
      <c r="H811" s="4"/>
      <c r="I811" s="49"/>
      <c r="J811" s="34"/>
      <c r="K811" s="4"/>
      <c r="L811" s="4"/>
      <c r="M811" s="4"/>
      <c r="N811" s="2"/>
      <c r="O811" s="2"/>
      <c r="P811" s="1"/>
    </row>
    <row r="812" spans="1:16">
      <c r="A812" s="1"/>
      <c r="B812" s="204"/>
      <c r="C812" s="1"/>
      <c r="D812" s="1"/>
      <c r="E812" s="1"/>
      <c r="F812" s="279"/>
      <c r="G812" s="1"/>
      <c r="H812" s="4"/>
      <c r="I812" s="49"/>
      <c r="J812" s="34"/>
      <c r="K812" s="4"/>
      <c r="L812" s="4"/>
      <c r="M812" s="4"/>
      <c r="N812" s="2"/>
      <c r="O812" s="2"/>
      <c r="P812" s="1"/>
    </row>
    <row r="813" spans="1:16">
      <c r="A813" s="1"/>
      <c r="B813" s="204"/>
      <c r="C813" s="1"/>
      <c r="D813" s="1"/>
      <c r="E813" s="1"/>
      <c r="F813" s="279"/>
      <c r="G813" s="1"/>
      <c r="H813" s="4"/>
      <c r="I813" s="49"/>
      <c r="J813" s="34"/>
      <c r="K813" s="4"/>
      <c r="L813" s="4"/>
      <c r="M813" s="4"/>
      <c r="N813" s="2"/>
      <c r="O813" s="2"/>
      <c r="P813" s="1"/>
    </row>
    <row r="814" spans="1:16">
      <c r="A814" s="1"/>
      <c r="B814" s="204"/>
      <c r="C814" s="1"/>
      <c r="D814" s="1"/>
      <c r="E814" s="1"/>
      <c r="F814" s="279"/>
      <c r="G814" s="1"/>
      <c r="H814" s="4"/>
      <c r="I814" s="49"/>
      <c r="J814" s="34"/>
      <c r="K814" s="4"/>
      <c r="L814" s="4"/>
      <c r="M814" s="4"/>
      <c r="N814" s="2"/>
      <c r="O814" s="2"/>
      <c r="P814" s="1"/>
    </row>
    <row r="815" spans="1:16">
      <c r="A815" s="1"/>
      <c r="B815" s="204"/>
      <c r="C815" s="1"/>
      <c r="D815" s="1"/>
      <c r="E815" s="1"/>
      <c r="F815" s="279"/>
      <c r="G815" s="1"/>
      <c r="H815" s="4"/>
      <c r="I815" s="49"/>
      <c r="J815" s="34"/>
      <c r="K815" s="4"/>
      <c r="L815" s="4"/>
      <c r="M815" s="4"/>
      <c r="N815" s="2"/>
      <c r="O815" s="2"/>
      <c r="P815" s="1"/>
    </row>
    <row r="816" spans="1:16">
      <c r="A816" s="1"/>
      <c r="B816" s="204"/>
      <c r="C816" s="1"/>
      <c r="D816" s="1"/>
      <c r="E816" s="1"/>
      <c r="F816" s="279"/>
      <c r="G816" s="1"/>
      <c r="H816" s="4"/>
      <c r="I816" s="49"/>
      <c r="J816" s="34"/>
      <c r="K816" s="4"/>
      <c r="L816" s="4"/>
      <c r="M816" s="4"/>
      <c r="N816" s="2"/>
      <c r="O816" s="2"/>
      <c r="P816" s="1"/>
    </row>
    <row r="817" spans="1:16">
      <c r="A817" s="1"/>
      <c r="B817" s="204"/>
      <c r="C817" s="1"/>
      <c r="D817" s="1"/>
      <c r="E817" s="1"/>
      <c r="F817" s="279"/>
      <c r="G817" s="1"/>
      <c r="H817" s="4"/>
      <c r="I817" s="49"/>
      <c r="J817" s="34"/>
      <c r="K817" s="4"/>
      <c r="L817" s="4"/>
      <c r="M817" s="4"/>
      <c r="N817" s="2"/>
      <c r="O817" s="2"/>
      <c r="P817" s="1"/>
    </row>
    <row r="818" spans="1:16">
      <c r="A818" s="1"/>
      <c r="B818" s="204"/>
      <c r="C818" s="1"/>
      <c r="D818" s="1"/>
      <c r="E818" s="1"/>
      <c r="F818" s="279"/>
      <c r="G818" s="1"/>
      <c r="H818" s="4"/>
      <c r="I818" s="49"/>
      <c r="J818" s="34"/>
      <c r="K818" s="4"/>
      <c r="L818" s="4"/>
      <c r="M818" s="4"/>
      <c r="N818" s="2"/>
      <c r="O818" s="2"/>
      <c r="P818" s="1"/>
    </row>
    <row r="819" spans="1:16">
      <c r="A819" s="1"/>
      <c r="B819" s="204"/>
      <c r="C819" s="1"/>
      <c r="D819" s="1"/>
      <c r="E819" s="1"/>
      <c r="F819" s="279"/>
      <c r="G819" s="1"/>
      <c r="H819" s="4"/>
      <c r="I819" s="49"/>
      <c r="J819" s="34"/>
      <c r="K819" s="4"/>
      <c r="L819" s="4"/>
      <c r="M819" s="4"/>
      <c r="N819" s="2"/>
      <c r="O819" s="2"/>
      <c r="P819" s="1"/>
    </row>
    <row r="820" spans="1:16">
      <c r="A820" s="1"/>
      <c r="B820" s="204"/>
      <c r="C820" s="1"/>
      <c r="D820" s="1"/>
      <c r="E820" s="1"/>
      <c r="F820" s="279"/>
      <c r="G820" s="1"/>
      <c r="H820" s="4"/>
      <c r="I820" s="49"/>
      <c r="J820" s="34"/>
      <c r="K820" s="4"/>
      <c r="L820" s="4"/>
      <c r="M820" s="4"/>
      <c r="N820" s="2"/>
      <c r="O820" s="2"/>
      <c r="P820" s="1"/>
    </row>
    <row r="821" spans="1:16">
      <c r="A821" s="1"/>
      <c r="B821" s="204"/>
      <c r="C821" s="1"/>
      <c r="D821" s="1"/>
      <c r="E821" s="1"/>
      <c r="F821" s="279"/>
      <c r="G821" s="1"/>
      <c r="H821" s="4"/>
      <c r="I821" s="49"/>
      <c r="J821" s="34"/>
      <c r="K821" s="4"/>
      <c r="L821" s="4"/>
      <c r="M821" s="4"/>
      <c r="N821" s="2"/>
      <c r="O821" s="2"/>
      <c r="P821" s="1"/>
    </row>
    <row r="822" spans="1:16">
      <c r="A822" s="1"/>
      <c r="B822" s="204"/>
      <c r="C822" s="1"/>
      <c r="D822" s="1"/>
      <c r="E822" s="1"/>
      <c r="F822" s="279"/>
      <c r="G822" s="1"/>
      <c r="H822" s="4"/>
      <c r="I822" s="49"/>
      <c r="J822" s="34"/>
      <c r="K822" s="4"/>
      <c r="L822" s="4"/>
      <c r="M822" s="4"/>
      <c r="N822" s="2"/>
      <c r="O822" s="2"/>
      <c r="P822" s="1"/>
    </row>
    <row r="823" spans="1:16">
      <c r="A823" s="1"/>
      <c r="B823" s="204"/>
      <c r="C823" s="1"/>
      <c r="D823" s="1"/>
      <c r="E823" s="1"/>
      <c r="F823" s="279"/>
      <c r="G823" s="1"/>
      <c r="H823" s="4"/>
      <c r="I823" s="49"/>
      <c r="J823" s="34"/>
      <c r="K823" s="4"/>
      <c r="L823" s="4"/>
      <c r="M823" s="4"/>
      <c r="N823" s="2"/>
      <c r="O823" s="2"/>
      <c r="P823" s="1"/>
    </row>
    <row r="824" spans="1:16">
      <c r="A824" s="1"/>
      <c r="B824" s="204"/>
      <c r="C824" s="1"/>
      <c r="D824" s="1"/>
      <c r="E824" s="1"/>
      <c r="F824" s="279"/>
      <c r="G824" s="1"/>
      <c r="H824" s="4"/>
      <c r="I824" s="49"/>
      <c r="J824" s="34"/>
      <c r="K824" s="4"/>
      <c r="L824" s="4"/>
      <c r="M824" s="4"/>
      <c r="N824" s="2"/>
      <c r="O824" s="2"/>
      <c r="P824" s="1"/>
    </row>
    <row r="825" spans="1:16">
      <c r="A825" s="1"/>
      <c r="B825" s="204"/>
      <c r="C825" s="1"/>
      <c r="D825" s="1"/>
      <c r="E825" s="1"/>
      <c r="F825" s="279"/>
      <c r="G825" s="1"/>
      <c r="H825" s="4"/>
      <c r="I825" s="49"/>
      <c r="J825" s="34"/>
      <c r="K825" s="4"/>
      <c r="L825" s="4"/>
      <c r="M825" s="4"/>
      <c r="N825" s="2"/>
      <c r="O825" s="2"/>
      <c r="P825" s="1"/>
    </row>
    <row r="826" spans="1:16">
      <c r="A826" s="1"/>
      <c r="B826" s="204"/>
      <c r="C826" s="1"/>
      <c r="D826" s="1"/>
      <c r="E826" s="1"/>
      <c r="F826" s="279"/>
      <c r="G826" s="1"/>
      <c r="H826" s="4"/>
      <c r="I826" s="49"/>
      <c r="J826" s="34"/>
      <c r="K826" s="4"/>
      <c r="L826" s="4"/>
      <c r="M826" s="4"/>
      <c r="N826" s="2"/>
      <c r="O826" s="2"/>
      <c r="P826" s="1"/>
    </row>
    <row r="827" spans="1:16">
      <c r="A827" s="1"/>
      <c r="B827" s="204"/>
      <c r="C827" s="1"/>
      <c r="D827" s="1"/>
      <c r="E827" s="1"/>
      <c r="F827" s="279"/>
      <c r="G827" s="1"/>
      <c r="H827" s="4"/>
      <c r="I827" s="49"/>
      <c r="J827" s="34"/>
      <c r="K827" s="4"/>
      <c r="L827" s="4"/>
      <c r="M827" s="4"/>
      <c r="N827" s="2"/>
      <c r="O827" s="2"/>
      <c r="P827" s="1"/>
    </row>
    <row r="828" spans="1:16">
      <c r="A828" s="1"/>
      <c r="B828" s="204"/>
      <c r="C828" s="1"/>
      <c r="D828" s="1"/>
      <c r="E828" s="1"/>
      <c r="F828" s="279"/>
      <c r="G828" s="1"/>
      <c r="H828" s="4"/>
      <c r="I828" s="49"/>
      <c r="J828" s="34"/>
      <c r="K828" s="4"/>
      <c r="L828" s="4"/>
      <c r="M828" s="4"/>
      <c r="N828" s="2"/>
      <c r="O828" s="2"/>
      <c r="P828" s="1"/>
    </row>
    <row r="829" spans="1:16">
      <c r="A829" s="1"/>
      <c r="B829" s="204"/>
      <c r="C829" s="1"/>
      <c r="D829" s="1"/>
      <c r="E829" s="1"/>
      <c r="F829" s="279"/>
      <c r="G829" s="1"/>
      <c r="H829" s="4"/>
      <c r="I829" s="49"/>
      <c r="J829" s="34"/>
      <c r="K829" s="4"/>
      <c r="L829" s="4"/>
      <c r="M829" s="4"/>
      <c r="N829" s="2"/>
      <c r="O829" s="2"/>
      <c r="P829" s="1"/>
    </row>
    <row r="830" spans="1:16">
      <c r="A830" s="1"/>
      <c r="B830" s="204"/>
      <c r="C830" s="1"/>
      <c r="D830" s="1"/>
      <c r="E830" s="1"/>
      <c r="F830" s="279"/>
      <c r="G830" s="1"/>
      <c r="H830" s="4"/>
      <c r="I830" s="49"/>
      <c r="J830" s="34"/>
      <c r="K830" s="4"/>
      <c r="L830" s="4"/>
      <c r="M830" s="4"/>
      <c r="N830" s="2"/>
      <c r="O830" s="2"/>
      <c r="P830" s="1"/>
    </row>
    <row r="831" spans="1:16">
      <c r="A831" s="1"/>
      <c r="B831" s="204"/>
      <c r="C831" s="1"/>
      <c r="D831" s="1"/>
      <c r="E831" s="1"/>
      <c r="F831" s="279"/>
      <c r="G831" s="1"/>
      <c r="H831" s="4"/>
      <c r="I831" s="49"/>
      <c r="J831" s="34"/>
      <c r="K831" s="4"/>
      <c r="L831" s="4"/>
      <c r="M831" s="4"/>
      <c r="N831" s="2"/>
      <c r="O831" s="2"/>
      <c r="P831" s="1"/>
    </row>
    <row r="832" spans="1:16">
      <c r="A832" s="1"/>
      <c r="B832" s="204"/>
      <c r="C832" s="1"/>
      <c r="D832" s="1"/>
      <c r="E832" s="1"/>
      <c r="F832" s="279"/>
      <c r="G832" s="1"/>
      <c r="H832" s="4"/>
      <c r="I832" s="49"/>
      <c r="J832" s="34"/>
      <c r="K832" s="4"/>
      <c r="L832" s="4"/>
      <c r="M832" s="4"/>
      <c r="N832" s="2"/>
      <c r="O832" s="2"/>
      <c r="P832" s="1"/>
    </row>
    <row r="833" spans="1:16">
      <c r="A833" s="1"/>
      <c r="B833" s="204"/>
      <c r="C833" s="1"/>
      <c r="D833" s="1"/>
      <c r="E833" s="1"/>
      <c r="F833" s="279"/>
      <c r="G833" s="1"/>
      <c r="H833" s="4"/>
      <c r="I833" s="49"/>
      <c r="J833" s="34"/>
      <c r="K833" s="4"/>
      <c r="L833" s="4"/>
      <c r="M833" s="4"/>
      <c r="N833" s="2"/>
      <c r="O833" s="2"/>
      <c r="P833" s="1"/>
    </row>
    <row r="834" spans="1:16">
      <c r="A834" s="1"/>
      <c r="B834" s="204"/>
      <c r="C834" s="1"/>
      <c r="D834" s="1"/>
      <c r="E834" s="1"/>
      <c r="F834" s="279"/>
      <c r="G834" s="1"/>
      <c r="H834" s="4"/>
      <c r="I834" s="49"/>
      <c r="J834" s="34"/>
      <c r="K834" s="4"/>
      <c r="L834" s="4"/>
      <c r="M834" s="4"/>
      <c r="N834" s="2"/>
      <c r="O834" s="2"/>
      <c r="P834" s="1"/>
    </row>
    <row r="835" spans="1:16">
      <c r="A835" s="1"/>
      <c r="B835" s="204"/>
      <c r="C835" s="1"/>
      <c r="D835" s="1"/>
      <c r="E835" s="1"/>
      <c r="F835" s="279"/>
      <c r="G835" s="1"/>
      <c r="H835" s="4"/>
      <c r="I835" s="49"/>
      <c r="J835" s="34"/>
      <c r="K835" s="4"/>
      <c r="L835" s="4"/>
      <c r="M835" s="4"/>
      <c r="N835" s="2"/>
      <c r="O835" s="2"/>
      <c r="P835" s="1"/>
    </row>
    <row r="836" spans="1:16">
      <c r="A836" s="1"/>
      <c r="B836" s="204"/>
      <c r="C836" s="1"/>
      <c r="D836" s="1"/>
      <c r="E836" s="1"/>
      <c r="F836" s="279"/>
      <c r="G836" s="1"/>
      <c r="H836" s="4"/>
      <c r="I836" s="49"/>
      <c r="J836" s="34"/>
      <c r="K836" s="4"/>
      <c r="L836" s="4"/>
      <c r="M836" s="4"/>
      <c r="N836" s="2"/>
      <c r="O836" s="2"/>
      <c r="P836" s="1"/>
    </row>
    <row r="837" spans="1:16">
      <c r="A837" s="1"/>
      <c r="B837" s="204"/>
      <c r="C837" s="1"/>
      <c r="D837" s="1"/>
      <c r="E837" s="1"/>
      <c r="F837" s="279"/>
      <c r="G837" s="1"/>
      <c r="H837" s="4"/>
      <c r="I837" s="49"/>
      <c r="J837" s="34"/>
      <c r="K837" s="4"/>
      <c r="L837" s="4"/>
      <c r="M837" s="4"/>
      <c r="N837" s="2"/>
      <c r="O837" s="2"/>
      <c r="P837" s="1"/>
    </row>
    <row r="838" spans="1:16">
      <c r="A838" s="1"/>
      <c r="B838" s="204"/>
      <c r="C838" s="1"/>
      <c r="D838" s="1"/>
      <c r="E838" s="1"/>
      <c r="F838" s="279"/>
      <c r="G838" s="1"/>
      <c r="H838" s="4"/>
      <c r="I838" s="49"/>
      <c r="J838" s="34"/>
      <c r="K838" s="4"/>
      <c r="L838" s="4"/>
      <c r="M838" s="4"/>
      <c r="N838" s="2"/>
      <c r="O838" s="2"/>
      <c r="P838" s="1"/>
    </row>
    <row r="839" spans="1:16">
      <c r="A839" s="1"/>
      <c r="B839" s="204"/>
      <c r="C839" s="1"/>
      <c r="D839" s="1"/>
      <c r="E839" s="1"/>
      <c r="F839" s="279"/>
      <c r="G839" s="1"/>
      <c r="H839" s="4"/>
      <c r="I839" s="49"/>
      <c r="J839" s="34"/>
      <c r="K839" s="4"/>
      <c r="L839" s="4"/>
      <c r="M839" s="4"/>
      <c r="N839" s="2"/>
      <c r="O839" s="2"/>
      <c r="P839" s="1"/>
    </row>
    <row r="840" spans="1:16">
      <c r="A840" s="1"/>
      <c r="B840" s="204"/>
      <c r="C840" s="1"/>
      <c r="D840" s="1"/>
      <c r="E840" s="1"/>
      <c r="F840" s="279"/>
      <c r="G840" s="1"/>
      <c r="H840" s="4"/>
      <c r="I840" s="49"/>
      <c r="J840" s="34"/>
      <c r="K840" s="4"/>
      <c r="L840" s="4"/>
      <c r="M840" s="4"/>
      <c r="N840" s="2"/>
      <c r="O840" s="2"/>
      <c r="P840" s="1"/>
    </row>
    <row r="841" spans="1:16">
      <c r="A841" s="1"/>
      <c r="B841" s="204"/>
      <c r="C841" s="1"/>
      <c r="D841" s="1"/>
      <c r="E841" s="1"/>
      <c r="F841" s="279"/>
      <c r="G841" s="1"/>
      <c r="H841" s="4"/>
      <c r="I841" s="49"/>
      <c r="J841" s="34"/>
      <c r="K841" s="4"/>
      <c r="L841" s="4"/>
      <c r="M841" s="4"/>
      <c r="N841" s="2"/>
      <c r="O841" s="2"/>
      <c r="P841" s="1"/>
    </row>
    <row r="842" spans="1:16">
      <c r="A842" s="1"/>
      <c r="B842" s="204"/>
      <c r="C842" s="1"/>
      <c r="D842" s="1"/>
      <c r="E842" s="1"/>
      <c r="F842" s="279"/>
      <c r="G842" s="1"/>
      <c r="H842" s="4"/>
      <c r="I842" s="49"/>
      <c r="J842" s="34"/>
      <c r="K842" s="4"/>
      <c r="L842" s="4"/>
      <c r="M842" s="4"/>
      <c r="N842" s="2"/>
      <c r="O842" s="2"/>
      <c r="P842" s="1"/>
    </row>
    <row r="843" spans="1:16">
      <c r="A843" s="1"/>
      <c r="B843" s="204"/>
      <c r="C843" s="1"/>
      <c r="D843" s="1"/>
      <c r="E843" s="1"/>
      <c r="F843" s="279"/>
      <c r="G843" s="1"/>
      <c r="H843" s="4"/>
      <c r="I843" s="49"/>
      <c r="J843" s="34"/>
      <c r="K843" s="4"/>
      <c r="L843" s="4"/>
      <c r="M843" s="4"/>
      <c r="N843" s="2"/>
      <c r="O843" s="2"/>
      <c r="P843" s="1"/>
    </row>
    <row r="844" spans="1:16">
      <c r="A844" s="1"/>
      <c r="B844" s="204"/>
      <c r="C844" s="1"/>
      <c r="D844" s="1"/>
      <c r="E844" s="1"/>
      <c r="F844" s="279"/>
      <c r="G844" s="1"/>
      <c r="H844" s="4"/>
      <c r="I844" s="49"/>
      <c r="J844" s="34"/>
      <c r="K844" s="4"/>
      <c r="L844" s="4"/>
      <c r="M844" s="4"/>
      <c r="N844" s="2"/>
      <c r="O844" s="2"/>
      <c r="P844" s="1"/>
    </row>
    <row r="845" spans="1:16">
      <c r="A845" s="1"/>
      <c r="B845" s="204"/>
      <c r="C845" s="1"/>
      <c r="D845" s="1"/>
      <c r="E845" s="1"/>
      <c r="F845" s="279"/>
      <c r="G845" s="1"/>
      <c r="H845" s="4"/>
      <c r="I845" s="49"/>
      <c r="J845" s="34"/>
      <c r="K845" s="4"/>
      <c r="L845" s="4"/>
      <c r="M845" s="4"/>
      <c r="N845" s="2"/>
      <c r="O845" s="2"/>
      <c r="P845" s="1"/>
    </row>
    <row r="846" spans="1:16">
      <c r="A846" s="1"/>
      <c r="B846" s="204"/>
      <c r="C846" s="1"/>
      <c r="D846" s="1"/>
      <c r="E846" s="1"/>
      <c r="F846" s="279"/>
      <c r="G846" s="1"/>
      <c r="H846" s="4"/>
      <c r="I846" s="49"/>
      <c r="J846" s="34"/>
      <c r="K846" s="4"/>
      <c r="L846" s="4"/>
      <c r="M846" s="4"/>
      <c r="N846" s="2"/>
      <c r="O846" s="2"/>
      <c r="P846" s="1"/>
    </row>
    <row r="847" spans="1:16">
      <c r="A847" s="1"/>
      <c r="B847" s="204"/>
      <c r="C847" s="1"/>
      <c r="D847" s="1"/>
      <c r="E847" s="1"/>
      <c r="F847" s="279"/>
      <c r="G847" s="1"/>
      <c r="H847" s="4"/>
      <c r="I847" s="49"/>
      <c r="J847" s="34"/>
      <c r="K847" s="4"/>
      <c r="L847" s="4"/>
      <c r="M847" s="4"/>
      <c r="N847" s="2"/>
      <c r="O847" s="2"/>
      <c r="P847" s="1"/>
    </row>
    <row r="848" spans="1:16">
      <c r="A848" s="1"/>
      <c r="B848" s="204"/>
      <c r="C848" s="1"/>
      <c r="D848" s="1"/>
      <c r="E848" s="1"/>
      <c r="F848" s="279"/>
      <c r="G848" s="1"/>
      <c r="H848" s="4"/>
      <c r="I848" s="49"/>
      <c r="J848" s="34"/>
      <c r="K848" s="4"/>
      <c r="L848" s="4"/>
      <c r="M848" s="4"/>
      <c r="N848" s="2"/>
      <c r="O848" s="2"/>
      <c r="P848" s="1"/>
    </row>
    <row r="849" spans="1:16">
      <c r="A849" s="1"/>
      <c r="B849" s="204"/>
      <c r="C849" s="1"/>
      <c r="D849" s="1"/>
      <c r="E849" s="1"/>
      <c r="F849" s="279"/>
      <c r="G849" s="1"/>
      <c r="H849" s="4"/>
      <c r="I849" s="49"/>
      <c r="J849" s="34"/>
      <c r="K849" s="4"/>
      <c r="L849" s="4"/>
      <c r="M849" s="4"/>
      <c r="N849" s="2"/>
      <c r="O849" s="2"/>
      <c r="P849" s="1"/>
    </row>
    <row r="850" spans="1:16">
      <c r="A850" s="1"/>
      <c r="B850" s="204"/>
      <c r="C850" s="1"/>
      <c r="D850" s="1"/>
      <c r="E850" s="1"/>
      <c r="F850" s="279"/>
      <c r="G850" s="1"/>
      <c r="H850" s="4"/>
      <c r="I850" s="49"/>
      <c r="J850" s="34"/>
      <c r="K850" s="4"/>
      <c r="L850" s="4"/>
      <c r="M850" s="4"/>
      <c r="N850" s="2"/>
      <c r="O850" s="2"/>
      <c r="P850" s="1"/>
    </row>
    <row r="851" spans="1:16">
      <c r="A851" s="1"/>
      <c r="B851" s="204"/>
      <c r="C851" s="1"/>
      <c r="D851" s="1"/>
      <c r="E851" s="1"/>
      <c r="F851" s="279"/>
      <c r="G851" s="1"/>
      <c r="H851" s="4"/>
      <c r="I851" s="49"/>
      <c r="J851" s="34"/>
      <c r="K851" s="4"/>
      <c r="L851" s="4"/>
      <c r="M851" s="4"/>
      <c r="N851" s="2"/>
      <c r="O851" s="2"/>
      <c r="P851" s="1"/>
    </row>
    <row r="852" spans="1:16">
      <c r="A852" s="1"/>
      <c r="B852" s="204"/>
      <c r="C852" s="1"/>
      <c r="D852" s="1"/>
      <c r="E852" s="1"/>
      <c r="F852" s="279"/>
      <c r="G852" s="1"/>
      <c r="H852" s="4"/>
      <c r="I852" s="49"/>
      <c r="J852" s="34"/>
      <c r="K852" s="4"/>
      <c r="L852" s="4"/>
      <c r="M852" s="4"/>
      <c r="N852" s="2"/>
      <c r="O852" s="2"/>
      <c r="P852" s="1"/>
    </row>
    <row r="853" spans="1:16">
      <c r="A853" s="1"/>
      <c r="B853" s="204"/>
      <c r="C853" s="1"/>
      <c r="D853" s="1"/>
      <c r="E853" s="1"/>
      <c r="F853" s="279"/>
      <c r="G853" s="1"/>
      <c r="H853" s="4"/>
      <c r="I853" s="49"/>
      <c r="J853" s="34"/>
      <c r="K853" s="4"/>
      <c r="L853" s="4"/>
      <c r="M853" s="4"/>
      <c r="N853" s="2"/>
      <c r="O853" s="2"/>
      <c r="P853" s="1"/>
    </row>
    <row r="854" spans="1:16">
      <c r="A854" s="1"/>
      <c r="B854" s="204"/>
      <c r="C854" s="1"/>
      <c r="D854" s="1"/>
      <c r="E854" s="1"/>
      <c r="F854" s="279"/>
      <c r="G854" s="1"/>
      <c r="H854" s="4"/>
      <c r="I854" s="49"/>
      <c r="J854" s="34"/>
      <c r="K854" s="4"/>
      <c r="L854" s="4"/>
      <c r="M854" s="4"/>
      <c r="N854" s="2"/>
      <c r="O854" s="2"/>
      <c r="P854" s="1"/>
    </row>
    <row r="855" spans="1:16">
      <c r="A855" s="1"/>
      <c r="B855" s="204"/>
      <c r="C855" s="1"/>
      <c r="D855" s="1"/>
      <c r="E855" s="1"/>
      <c r="F855" s="279"/>
      <c r="G855" s="1"/>
      <c r="H855" s="4"/>
      <c r="I855" s="49"/>
      <c r="J855" s="34"/>
      <c r="K855" s="4"/>
      <c r="L855" s="4"/>
      <c r="M855" s="4"/>
      <c r="N855" s="2"/>
      <c r="O855" s="2"/>
      <c r="P855" s="1"/>
    </row>
    <row r="856" spans="1:16">
      <c r="A856" s="1"/>
      <c r="B856" s="204"/>
      <c r="C856" s="1"/>
      <c r="D856" s="1"/>
      <c r="E856" s="1"/>
      <c r="F856" s="279"/>
      <c r="G856" s="1"/>
      <c r="H856" s="4"/>
      <c r="I856" s="49"/>
      <c r="J856" s="34"/>
      <c r="K856" s="4"/>
      <c r="L856" s="4"/>
      <c r="M856" s="4"/>
      <c r="N856" s="2"/>
      <c r="O856" s="2"/>
      <c r="P856" s="1"/>
    </row>
    <row r="857" spans="1:16">
      <c r="A857" s="1"/>
      <c r="B857" s="204"/>
      <c r="C857" s="1"/>
      <c r="D857" s="1"/>
      <c r="E857" s="1"/>
      <c r="F857" s="279"/>
      <c r="G857" s="1"/>
      <c r="H857" s="4"/>
      <c r="I857" s="49"/>
      <c r="J857" s="34"/>
      <c r="K857" s="4"/>
      <c r="L857" s="4"/>
      <c r="M857" s="4"/>
      <c r="N857" s="2"/>
      <c r="O857" s="2"/>
      <c r="P857" s="1"/>
    </row>
    <row r="858" spans="1:16">
      <c r="A858" s="1"/>
      <c r="B858" s="204"/>
      <c r="C858" s="1"/>
      <c r="D858" s="1"/>
      <c r="E858" s="1"/>
      <c r="F858" s="279"/>
      <c r="G858" s="1"/>
      <c r="H858" s="4"/>
      <c r="I858" s="49"/>
      <c r="J858" s="34"/>
      <c r="K858" s="4"/>
      <c r="L858" s="4"/>
      <c r="M858" s="4"/>
      <c r="N858" s="2"/>
      <c r="O858" s="2"/>
      <c r="P858" s="1"/>
    </row>
    <row r="859" spans="1:16">
      <c r="A859" s="1"/>
      <c r="B859" s="204"/>
      <c r="C859" s="1"/>
      <c r="D859" s="1"/>
      <c r="E859" s="1"/>
      <c r="F859" s="279"/>
      <c r="G859" s="1"/>
      <c r="H859" s="4"/>
      <c r="I859" s="49"/>
      <c r="J859" s="34"/>
      <c r="K859" s="4"/>
      <c r="L859" s="4"/>
      <c r="M859" s="4"/>
      <c r="N859" s="2"/>
      <c r="O859" s="2"/>
      <c r="P859" s="1"/>
    </row>
    <row r="860" spans="1:16">
      <c r="A860" s="1"/>
      <c r="B860" s="204"/>
      <c r="C860" s="1"/>
      <c r="D860" s="1"/>
      <c r="E860" s="1"/>
      <c r="F860" s="279"/>
      <c r="G860" s="1"/>
      <c r="H860" s="4"/>
      <c r="I860" s="49"/>
      <c r="J860" s="34"/>
      <c r="K860" s="4"/>
      <c r="L860" s="4"/>
      <c r="M860" s="4"/>
      <c r="N860" s="2"/>
      <c r="O860" s="2"/>
      <c r="P860" s="1"/>
    </row>
    <row r="861" spans="1:16">
      <c r="A861" s="1"/>
      <c r="B861" s="204"/>
      <c r="C861" s="1"/>
      <c r="D861" s="1"/>
      <c r="E861" s="1"/>
      <c r="F861" s="279"/>
      <c r="G861" s="1"/>
      <c r="H861" s="4"/>
      <c r="I861" s="49"/>
      <c r="J861" s="34"/>
      <c r="K861" s="4"/>
      <c r="L861" s="4"/>
      <c r="M861" s="4"/>
      <c r="N861" s="2"/>
      <c r="O861" s="2"/>
      <c r="P861" s="1"/>
    </row>
    <row r="862" spans="1:16">
      <c r="A862" s="1"/>
      <c r="B862" s="204"/>
      <c r="C862" s="1"/>
      <c r="D862" s="1"/>
      <c r="E862" s="1"/>
      <c r="F862" s="279"/>
      <c r="G862" s="1"/>
      <c r="H862" s="4"/>
      <c r="I862" s="49"/>
      <c r="J862" s="34"/>
      <c r="K862" s="4"/>
      <c r="L862" s="4"/>
      <c r="M862" s="4"/>
      <c r="N862" s="2"/>
      <c r="O862" s="2"/>
      <c r="P862" s="1"/>
    </row>
    <row r="863" spans="1:16">
      <c r="A863" s="1"/>
      <c r="B863" s="204"/>
      <c r="C863" s="1"/>
      <c r="D863" s="1"/>
      <c r="E863" s="1"/>
      <c r="F863" s="279"/>
      <c r="G863" s="1"/>
      <c r="H863" s="4"/>
      <c r="I863" s="49"/>
      <c r="J863" s="34"/>
      <c r="K863" s="4"/>
      <c r="L863" s="4"/>
      <c r="M863" s="4"/>
      <c r="N863" s="2"/>
      <c r="O863" s="2"/>
      <c r="P863" s="1"/>
    </row>
    <row r="864" spans="1:16">
      <c r="A864" s="1"/>
      <c r="B864" s="204"/>
      <c r="C864" s="1"/>
      <c r="D864" s="1"/>
      <c r="E864" s="1"/>
      <c r="F864" s="279"/>
      <c r="G864" s="1"/>
      <c r="H864" s="4"/>
      <c r="I864" s="49"/>
      <c r="J864" s="34"/>
      <c r="K864" s="4"/>
      <c r="L864" s="4"/>
      <c r="M864" s="4"/>
      <c r="N864" s="2"/>
      <c r="O864" s="2"/>
      <c r="P864" s="1"/>
    </row>
    <row r="865" spans="1:16">
      <c r="A865" s="1"/>
      <c r="B865" s="204"/>
      <c r="C865" s="1"/>
      <c r="D865" s="1"/>
      <c r="E865" s="1"/>
      <c r="F865" s="279"/>
      <c r="G865" s="1"/>
      <c r="H865" s="4"/>
      <c r="I865" s="49"/>
      <c r="J865" s="34"/>
      <c r="K865" s="4"/>
      <c r="L865" s="4"/>
      <c r="M865" s="4"/>
      <c r="N865" s="2"/>
      <c r="O865" s="2"/>
      <c r="P865" s="1"/>
    </row>
    <row r="866" spans="1:16">
      <c r="A866" s="1"/>
      <c r="B866" s="204"/>
      <c r="C866" s="1"/>
      <c r="D866" s="1"/>
      <c r="E866" s="1"/>
      <c r="F866" s="279"/>
      <c r="G866" s="1"/>
      <c r="H866" s="4"/>
      <c r="I866" s="49"/>
      <c r="J866" s="34"/>
      <c r="K866" s="4"/>
      <c r="L866" s="4"/>
      <c r="M866" s="4"/>
      <c r="N866" s="2"/>
      <c r="O866" s="2"/>
      <c r="P866" s="1"/>
    </row>
    <row r="867" spans="1:16">
      <c r="A867" s="1"/>
      <c r="B867" s="204"/>
      <c r="C867" s="1"/>
      <c r="D867" s="1"/>
      <c r="E867" s="1"/>
      <c r="F867" s="279"/>
      <c r="G867" s="1"/>
      <c r="H867" s="4"/>
      <c r="I867" s="49"/>
      <c r="J867" s="34"/>
      <c r="K867" s="4"/>
      <c r="L867" s="4"/>
      <c r="M867" s="4"/>
      <c r="N867" s="2"/>
      <c r="O867" s="2"/>
      <c r="P867" s="1"/>
    </row>
    <row r="868" spans="1:16">
      <c r="A868" s="1"/>
      <c r="B868" s="204"/>
      <c r="C868" s="1"/>
      <c r="D868" s="1"/>
      <c r="E868" s="1"/>
      <c r="F868" s="279"/>
      <c r="G868" s="1"/>
      <c r="H868" s="4"/>
      <c r="I868" s="49"/>
      <c r="J868" s="34"/>
      <c r="K868" s="4"/>
      <c r="L868" s="4"/>
      <c r="M868" s="4"/>
      <c r="N868" s="2"/>
      <c r="O868" s="2"/>
      <c r="P868" s="1"/>
    </row>
    <row r="869" spans="1:16">
      <c r="A869" s="1"/>
      <c r="B869" s="204"/>
      <c r="C869" s="1"/>
      <c r="D869" s="1"/>
      <c r="E869" s="1"/>
      <c r="F869" s="279"/>
      <c r="G869" s="1"/>
      <c r="H869" s="4"/>
      <c r="I869" s="49"/>
      <c r="J869" s="34"/>
      <c r="K869" s="4"/>
      <c r="L869" s="4"/>
      <c r="M869" s="4"/>
      <c r="N869" s="2"/>
      <c r="O869" s="2"/>
      <c r="P869" s="1"/>
    </row>
    <row r="870" spans="1:16">
      <c r="A870" s="1"/>
      <c r="B870" s="204"/>
      <c r="C870" s="1"/>
      <c r="D870" s="1"/>
      <c r="E870" s="1"/>
      <c r="F870" s="279"/>
      <c r="G870" s="1"/>
      <c r="H870" s="4"/>
      <c r="I870" s="49"/>
      <c r="J870" s="34"/>
      <c r="K870" s="4"/>
      <c r="L870" s="4"/>
      <c r="M870" s="4"/>
      <c r="N870" s="2"/>
      <c r="O870" s="2"/>
      <c r="P870" s="1"/>
    </row>
    <row r="871" spans="1:16">
      <c r="A871" s="1"/>
      <c r="B871" s="204"/>
      <c r="C871" s="1"/>
      <c r="D871" s="1"/>
      <c r="E871" s="1"/>
      <c r="F871" s="279"/>
      <c r="G871" s="1"/>
      <c r="H871" s="4"/>
      <c r="I871" s="49"/>
      <c r="J871" s="34"/>
      <c r="K871" s="4"/>
      <c r="L871" s="4"/>
      <c r="M871" s="4"/>
      <c r="N871" s="2"/>
      <c r="O871" s="2"/>
      <c r="P871" s="1"/>
    </row>
    <row r="872" spans="1:16">
      <c r="A872" s="1"/>
      <c r="B872" s="204"/>
      <c r="C872" s="1"/>
      <c r="D872" s="1"/>
      <c r="E872" s="1"/>
      <c r="F872" s="279"/>
      <c r="G872" s="1"/>
      <c r="H872" s="4"/>
      <c r="I872" s="49"/>
      <c r="J872" s="34"/>
      <c r="K872" s="4"/>
      <c r="L872" s="4"/>
      <c r="M872" s="4"/>
      <c r="N872" s="2"/>
      <c r="O872" s="2"/>
      <c r="P872" s="1"/>
    </row>
    <row r="873" spans="1:16">
      <c r="A873" s="1"/>
      <c r="B873" s="204"/>
      <c r="C873" s="1"/>
      <c r="D873" s="1"/>
      <c r="E873" s="1"/>
      <c r="F873" s="279"/>
      <c r="G873" s="1"/>
      <c r="H873" s="4"/>
      <c r="I873" s="49"/>
      <c r="J873" s="34"/>
      <c r="K873" s="4"/>
      <c r="L873" s="4"/>
      <c r="M873" s="4"/>
      <c r="N873" s="2"/>
      <c r="O873" s="2"/>
      <c r="P873" s="1"/>
    </row>
    <row r="874" spans="1:16">
      <c r="A874" s="1"/>
      <c r="B874" s="204"/>
      <c r="C874" s="1"/>
      <c r="D874" s="1"/>
      <c r="E874" s="1"/>
      <c r="F874" s="279"/>
      <c r="G874" s="1"/>
      <c r="H874" s="4"/>
      <c r="I874" s="49"/>
      <c r="J874" s="34"/>
      <c r="K874" s="4"/>
      <c r="L874" s="4"/>
      <c r="M874" s="4"/>
      <c r="N874" s="2"/>
      <c r="O874" s="2"/>
      <c r="P874" s="1"/>
    </row>
    <row r="875" spans="1:16">
      <c r="A875" s="1"/>
      <c r="B875" s="204"/>
      <c r="C875" s="1"/>
      <c r="D875" s="1"/>
      <c r="E875" s="1"/>
      <c r="F875" s="279"/>
      <c r="G875" s="1"/>
      <c r="H875" s="4"/>
      <c r="I875" s="49"/>
      <c r="J875" s="34"/>
      <c r="K875" s="4"/>
      <c r="L875" s="4"/>
      <c r="M875" s="4"/>
      <c r="N875" s="2"/>
      <c r="O875" s="2"/>
      <c r="P875" s="1"/>
    </row>
    <row r="876" spans="1:16">
      <c r="A876" s="1"/>
      <c r="B876" s="204"/>
      <c r="C876" s="1"/>
      <c r="D876" s="1"/>
      <c r="E876" s="1"/>
      <c r="F876" s="279"/>
      <c r="G876" s="1"/>
      <c r="H876" s="4"/>
      <c r="I876" s="49"/>
      <c r="J876" s="34"/>
      <c r="K876" s="4"/>
      <c r="L876" s="4"/>
      <c r="M876" s="4"/>
      <c r="N876" s="2"/>
      <c r="O876" s="2"/>
      <c r="P876" s="1"/>
    </row>
    <row r="877" spans="1:16">
      <c r="A877" s="1"/>
      <c r="B877" s="204"/>
      <c r="C877" s="1"/>
      <c r="D877" s="1"/>
      <c r="E877" s="1"/>
      <c r="F877" s="279"/>
      <c r="G877" s="1"/>
      <c r="H877" s="4"/>
      <c r="I877" s="49"/>
      <c r="J877" s="34"/>
      <c r="K877" s="4"/>
      <c r="L877" s="4"/>
      <c r="M877" s="4"/>
      <c r="N877" s="2"/>
      <c r="O877" s="2"/>
      <c r="P877" s="1"/>
    </row>
    <row r="878" spans="1:16">
      <c r="A878" s="1"/>
      <c r="B878" s="204"/>
      <c r="C878" s="1"/>
      <c r="D878" s="1"/>
      <c r="E878" s="1"/>
      <c r="F878" s="279"/>
      <c r="G878" s="1"/>
      <c r="H878" s="4"/>
      <c r="I878" s="49"/>
      <c r="J878" s="34"/>
      <c r="K878" s="4"/>
      <c r="L878" s="4"/>
      <c r="M878" s="4"/>
      <c r="N878" s="2"/>
      <c r="O878" s="2"/>
      <c r="P878" s="1"/>
    </row>
    <row r="879" spans="1:16">
      <c r="A879" s="1"/>
      <c r="B879" s="204"/>
      <c r="C879" s="1"/>
      <c r="D879" s="1"/>
      <c r="E879" s="1"/>
      <c r="F879" s="279"/>
      <c r="G879" s="1"/>
      <c r="H879" s="4"/>
      <c r="I879" s="49"/>
      <c r="J879" s="34"/>
      <c r="K879" s="4"/>
      <c r="L879" s="4"/>
      <c r="M879" s="4"/>
      <c r="N879" s="2"/>
      <c r="O879" s="2"/>
      <c r="P879" s="1"/>
    </row>
    <row r="880" spans="1:16">
      <c r="A880" s="1"/>
      <c r="B880" s="204"/>
      <c r="C880" s="1"/>
      <c r="D880" s="1"/>
      <c r="E880" s="1"/>
      <c r="F880" s="279"/>
      <c r="G880" s="1"/>
      <c r="H880" s="4"/>
      <c r="I880" s="49"/>
      <c r="J880" s="34"/>
      <c r="K880" s="4"/>
      <c r="L880" s="4"/>
      <c r="M880" s="4"/>
      <c r="N880" s="2"/>
      <c r="O880" s="2"/>
      <c r="P880" s="1"/>
    </row>
    <row r="881" spans="1:16">
      <c r="A881" s="1"/>
      <c r="B881" s="204"/>
      <c r="C881" s="1"/>
      <c r="D881" s="1"/>
      <c r="E881" s="1"/>
      <c r="F881" s="279"/>
      <c r="G881" s="1"/>
      <c r="H881" s="4"/>
      <c r="I881" s="49"/>
      <c r="J881" s="34"/>
      <c r="K881" s="4"/>
      <c r="L881" s="4"/>
      <c r="M881" s="4"/>
      <c r="N881" s="2"/>
      <c r="O881" s="2"/>
      <c r="P881" s="1"/>
    </row>
    <row r="882" spans="1:16">
      <c r="A882" s="1"/>
      <c r="B882" s="204"/>
      <c r="C882" s="1"/>
      <c r="D882" s="1"/>
      <c r="E882" s="1"/>
      <c r="F882" s="279"/>
      <c r="G882" s="1"/>
      <c r="H882" s="4"/>
      <c r="I882" s="49"/>
      <c r="J882" s="34"/>
      <c r="K882" s="4"/>
      <c r="L882" s="4"/>
      <c r="M882" s="4"/>
      <c r="N882" s="2"/>
      <c r="O882" s="2"/>
      <c r="P882" s="1"/>
    </row>
    <row r="883" spans="1:16">
      <c r="A883" s="1"/>
      <c r="B883" s="204"/>
      <c r="C883" s="1"/>
      <c r="D883" s="1"/>
      <c r="E883" s="1"/>
      <c r="F883" s="279"/>
      <c r="G883" s="1"/>
      <c r="H883" s="4"/>
      <c r="I883" s="49"/>
      <c r="J883" s="34"/>
      <c r="K883" s="4"/>
      <c r="L883" s="4"/>
      <c r="M883" s="4"/>
      <c r="N883" s="2"/>
      <c r="O883" s="2"/>
      <c r="P883" s="1"/>
    </row>
    <row r="884" spans="1:16">
      <c r="A884" s="1"/>
      <c r="B884" s="204"/>
      <c r="C884" s="1"/>
      <c r="D884" s="1"/>
      <c r="E884" s="1"/>
      <c r="F884" s="279"/>
      <c r="G884" s="1"/>
      <c r="H884" s="4"/>
      <c r="I884" s="49"/>
      <c r="J884" s="34"/>
      <c r="K884" s="4"/>
      <c r="L884" s="4"/>
      <c r="M884" s="4"/>
      <c r="N884" s="2"/>
      <c r="O884" s="2"/>
      <c r="P884" s="1"/>
    </row>
    <row r="885" spans="1:16">
      <c r="A885" s="1"/>
      <c r="B885" s="204"/>
      <c r="C885" s="1"/>
      <c r="D885" s="1"/>
      <c r="E885" s="1"/>
      <c r="F885" s="279"/>
      <c r="G885" s="1"/>
      <c r="H885" s="4"/>
      <c r="I885" s="49"/>
      <c r="J885" s="34"/>
      <c r="K885" s="4"/>
      <c r="L885" s="4"/>
      <c r="M885" s="4"/>
      <c r="N885" s="2"/>
      <c r="O885" s="2"/>
      <c r="P885" s="1"/>
    </row>
    <row r="886" spans="1:16">
      <c r="A886" s="1"/>
      <c r="B886" s="204"/>
      <c r="C886" s="1"/>
      <c r="D886" s="1"/>
      <c r="E886" s="1"/>
      <c r="F886" s="279"/>
      <c r="G886" s="1"/>
      <c r="H886" s="4"/>
      <c r="I886" s="49"/>
      <c r="J886" s="34"/>
      <c r="K886" s="4"/>
      <c r="L886" s="4"/>
      <c r="M886" s="4"/>
      <c r="N886" s="2"/>
      <c r="O886" s="2"/>
      <c r="P886" s="1"/>
    </row>
    <row r="887" spans="1:16">
      <c r="A887" s="1"/>
      <c r="B887" s="204"/>
      <c r="C887" s="1"/>
      <c r="D887" s="1"/>
      <c r="E887" s="1"/>
      <c r="F887" s="279"/>
      <c r="G887" s="1"/>
      <c r="H887" s="4"/>
      <c r="I887" s="49"/>
      <c r="J887" s="34"/>
      <c r="K887" s="4"/>
      <c r="L887" s="4"/>
      <c r="M887" s="4"/>
      <c r="N887" s="2"/>
      <c r="O887" s="2"/>
      <c r="P887" s="1"/>
    </row>
    <row r="888" spans="1:16">
      <c r="A888" s="1"/>
      <c r="B888" s="204"/>
      <c r="C888" s="1"/>
      <c r="D888" s="1"/>
      <c r="E888" s="1"/>
      <c r="F888" s="279"/>
      <c r="G888" s="1"/>
      <c r="H888" s="4"/>
      <c r="I888" s="49"/>
      <c r="J888" s="34"/>
      <c r="K888" s="4"/>
      <c r="L888" s="4"/>
      <c r="M888" s="4"/>
      <c r="N888" s="2"/>
      <c r="O888" s="2"/>
      <c r="P888" s="1"/>
    </row>
    <row r="889" spans="1:16">
      <c r="A889" s="1"/>
      <c r="B889" s="204"/>
      <c r="C889" s="1"/>
      <c r="D889" s="1"/>
      <c r="E889" s="1"/>
      <c r="F889" s="279"/>
      <c r="G889" s="1"/>
      <c r="H889" s="4"/>
      <c r="I889" s="49"/>
      <c r="J889" s="34"/>
      <c r="K889" s="4"/>
      <c r="L889" s="4"/>
      <c r="M889" s="4"/>
      <c r="N889" s="2"/>
      <c r="O889" s="2"/>
      <c r="P889" s="1"/>
    </row>
    <row r="890" spans="1:16">
      <c r="A890" s="1"/>
      <c r="B890" s="204"/>
      <c r="C890" s="1"/>
      <c r="D890" s="1"/>
      <c r="E890" s="1"/>
      <c r="F890" s="279"/>
      <c r="G890" s="1"/>
      <c r="H890" s="4"/>
      <c r="I890" s="49"/>
      <c r="J890" s="34"/>
      <c r="K890" s="4"/>
      <c r="L890" s="4"/>
      <c r="M890" s="4"/>
      <c r="N890" s="2"/>
      <c r="O890" s="2"/>
      <c r="P890" s="1"/>
    </row>
    <row r="891" spans="1:16">
      <c r="A891" s="1"/>
      <c r="B891" s="204"/>
      <c r="C891" s="1"/>
      <c r="D891" s="1"/>
      <c r="E891" s="1"/>
      <c r="F891" s="279"/>
      <c r="G891" s="1"/>
      <c r="H891" s="4"/>
      <c r="I891" s="49"/>
      <c r="J891" s="34"/>
      <c r="K891" s="4"/>
      <c r="L891" s="4"/>
      <c r="M891" s="4"/>
      <c r="N891" s="2"/>
      <c r="O891" s="2"/>
      <c r="P891" s="1"/>
    </row>
    <row r="892" spans="1:16">
      <c r="A892" s="1"/>
      <c r="B892" s="204"/>
      <c r="C892" s="1"/>
      <c r="D892" s="1"/>
      <c r="E892" s="1"/>
      <c r="F892" s="279"/>
      <c r="G892" s="1"/>
      <c r="H892" s="4"/>
      <c r="I892" s="49"/>
      <c r="J892" s="34"/>
      <c r="K892" s="4"/>
      <c r="L892" s="4"/>
      <c r="M892" s="4"/>
      <c r="N892" s="2"/>
      <c r="O892" s="2"/>
      <c r="P892" s="1"/>
    </row>
    <row r="893" spans="1:16">
      <c r="A893" s="1"/>
      <c r="B893" s="204"/>
      <c r="C893" s="1"/>
      <c r="D893" s="1"/>
      <c r="E893" s="1"/>
      <c r="F893" s="279"/>
      <c r="G893" s="1"/>
      <c r="H893" s="4"/>
      <c r="I893" s="49"/>
      <c r="J893" s="34"/>
      <c r="K893" s="4"/>
      <c r="L893" s="4"/>
      <c r="M893" s="4"/>
      <c r="N893" s="2"/>
      <c r="O893" s="2"/>
      <c r="P893" s="1"/>
    </row>
    <row r="894" spans="1:16">
      <c r="A894" s="1"/>
      <c r="B894" s="204"/>
      <c r="C894" s="1"/>
      <c r="D894" s="1"/>
      <c r="E894" s="1"/>
      <c r="F894" s="279"/>
      <c r="G894" s="1"/>
      <c r="H894" s="4"/>
      <c r="I894" s="49"/>
      <c r="J894" s="34"/>
      <c r="K894" s="4"/>
      <c r="L894" s="4"/>
      <c r="M894" s="4"/>
      <c r="N894" s="2"/>
      <c r="O894" s="2"/>
      <c r="P894" s="1"/>
    </row>
    <row r="895" spans="1:16">
      <c r="A895" s="1"/>
      <c r="B895" s="204"/>
      <c r="C895" s="1"/>
      <c r="D895" s="1"/>
      <c r="E895" s="1"/>
      <c r="F895" s="279"/>
      <c r="G895" s="1"/>
      <c r="H895" s="4"/>
      <c r="I895" s="49"/>
      <c r="J895" s="34"/>
      <c r="K895" s="4"/>
      <c r="L895" s="4"/>
      <c r="M895" s="4"/>
      <c r="N895" s="2"/>
      <c r="O895" s="2"/>
      <c r="P895" s="1"/>
    </row>
    <row r="896" spans="1:16">
      <c r="A896" s="1"/>
      <c r="B896" s="204"/>
      <c r="C896" s="1"/>
      <c r="D896" s="1"/>
      <c r="E896" s="1"/>
      <c r="F896" s="279"/>
      <c r="G896" s="1"/>
      <c r="H896" s="4"/>
      <c r="I896" s="49"/>
      <c r="J896" s="34"/>
      <c r="K896" s="4"/>
      <c r="L896" s="4"/>
      <c r="M896" s="4"/>
      <c r="N896" s="2"/>
      <c r="O896" s="2"/>
      <c r="P896" s="1"/>
    </row>
    <row r="897" spans="1:16">
      <c r="A897" s="1"/>
      <c r="B897" s="204"/>
      <c r="C897" s="1"/>
      <c r="D897" s="1"/>
      <c r="E897" s="1"/>
      <c r="F897" s="279"/>
      <c r="G897" s="1"/>
      <c r="H897" s="4"/>
      <c r="I897" s="49"/>
      <c r="J897" s="34"/>
      <c r="K897" s="4"/>
      <c r="L897" s="4"/>
      <c r="M897" s="4"/>
      <c r="N897" s="2"/>
      <c r="O897" s="2"/>
      <c r="P897" s="1"/>
    </row>
    <row r="898" spans="1:16">
      <c r="A898" s="1"/>
      <c r="B898" s="204"/>
      <c r="C898" s="1"/>
      <c r="D898" s="1"/>
      <c r="E898" s="1"/>
      <c r="F898" s="279"/>
      <c r="G898" s="1"/>
      <c r="H898" s="4"/>
      <c r="I898" s="49"/>
      <c r="J898" s="34"/>
      <c r="K898" s="4"/>
      <c r="L898" s="4"/>
      <c r="M898" s="4"/>
      <c r="N898" s="2"/>
      <c r="O898" s="2"/>
      <c r="P898" s="1"/>
    </row>
    <row r="899" spans="1:16">
      <c r="A899" s="1"/>
      <c r="B899" s="204"/>
      <c r="C899" s="1"/>
      <c r="D899" s="1"/>
      <c r="E899" s="1"/>
      <c r="F899" s="279"/>
      <c r="G899" s="1"/>
      <c r="H899" s="4"/>
      <c r="I899" s="49"/>
      <c r="J899" s="34"/>
      <c r="K899" s="4"/>
      <c r="L899" s="4"/>
      <c r="M899" s="4"/>
      <c r="N899" s="2"/>
      <c r="O899" s="2"/>
      <c r="P899" s="1"/>
    </row>
    <row r="900" spans="1:16">
      <c r="A900" s="1"/>
      <c r="B900" s="204"/>
      <c r="C900" s="1"/>
      <c r="D900" s="1"/>
      <c r="E900" s="1"/>
      <c r="F900" s="279"/>
      <c r="G900" s="1"/>
      <c r="H900" s="4"/>
      <c r="I900" s="49"/>
      <c r="J900" s="34"/>
      <c r="K900" s="4"/>
      <c r="L900" s="4"/>
      <c r="M900" s="4"/>
      <c r="N900" s="2"/>
      <c r="O900" s="2"/>
      <c r="P900" s="1"/>
    </row>
    <row r="901" spans="1:16">
      <c r="A901" s="1"/>
      <c r="B901" s="204"/>
      <c r="C901" s="1"/>
      <c r="D901" s="1"/>
      <c r="E901" s="1"/>
      <c r="F901" s="279"/>
      <c r="G901" s="1"/>
      <c r="H901" s="4"/>
      <c r="I901" s="49"/>
      <c r="J901" s="34"/>
      <c r="K901" s="4"/>
      <c r="L901" s="4"/>
      <c r="M901" s="4"/>
      <c r="N901" s="2"/>
      <c r="O901" s="2"/>
      <c r="P901" s="1"/>
    </row>
    <row r="902" spans="1:16">
      <c r="A902" s="1"/>
      <c r="B902" s="204"/>
      <c r="C902" s="1"/>
      <c r="D902" s="1"/>
      <c r="E902" s="1"/>
      <c r="F902" s="279"/>
      <c r="G902" s="1"/>
      <c r="H902" s="4"/>
      <c r="I902" s="49"/>
      <c r="J902" s="34"/>
      <c r="K902" s="4"/>
      <c r="L902" s="4"/>
      <c r="M902" s="4"/>
      <c r="N902" s="2"/>
      <c r="O902" s="2"/>
      <c r="P902" s="1"/>
    </row>
    <row r="903" spans="1:16">
      <c r="A903" s="1"/>
      <c r="B903" s="204"/>
      <c r="C903" s="1"/>
      <c r="D903" s="1"/>
      <c r="E903" s="1"/>
      <c r="F903" s="279"/>
      <c r="G903" s="1"/>
      <c r="H903" s="4"/>
      <c r="I903" s="49"/>
      <c r="J903" s="34"/>
      <c r="K903" s="4"/>
      <c r="L903" s="4"/>
      <c r="M903" s="4"/>
      <c r="N903" s="2"/>
      <c r="O903" s="2"/>
      <c r="P903" s="1"/>
    </row>
    <row r="904" spans="1:16">
      <c r="A904" s="1"/>
      <c r="B904" s="204"/>
      <c r="C904" s="1"/>
      <c r="D904" s="1"/>
      <c r="E904" s="1"/>
      <c r="F904" s="279"/>
      <c r="G904" s="1"/>
      <c r="H904" s="4"/>
      <c r="I904" s="49"/>
      <c r="J904" s="34"/>
      <c r="K904" s="4"/>
      <c r="L904" s="4"/>
      <c r="M904" s="4"/>
      <c r="N904" s="2"/>
      <c r="O904" s="2"/>
      <c r="P904" s="1"/>
    </row>
    <row r="905" spans="1:16">
      <c r="A905" s="1"/>
      <c r="B905" s="204"/>
      <c r="C905" s="1"/>
      <c r="D905" s="1"/>
      <c r="E905" s="1"/>
      <c r="F905" s="279"/>
      <c r="G905" s="1"/>
      <c r="H905" s="4"/>
      <c r="I905" s="49"/>
      <c r="J905" s="34"/>
      <c r="K905" s="4"/>
      <c r="L905" s="4"/>
      <c r="M905" s="4"/>
      <c r="N905" s="2"/>
      <c r="O905" s="2"/>
      <c r="P905" s="1"/>
    </row>
    <row r="906" spans="1:16">
      <c r="A906" s="1"/>
      <c r="B906" s="204"/>
      <c r="C906" s="1"/>
      <c r="D906" s="1"/>
      <c r="E906" s="1"/>
      <c r="F906" s="279"/>
      <c r="G906" s="1"/>
      <c r="H906" s="4"/>
      <c r="I906" s="49"/>
      <c r="J906" s="34"/>
      <c r="K906" s="4"/>
      <c r="L906" s="4"/>
      <c r="M906" s="4"/>
      <c r="N906" s="2"/>
      <c r="O906" s="2"/>
      <c r="P906" s="1"/>
    </row>
    <row r="907" spans="1:16">
      <c r="A907" s="1"/>
      <c r="B907" s="204"/>
      <c r="C907" s="1"/>
      <c r="D907" s="1"/>
      <c r="E907" s="1"/>
      <c r="F907" s="279"/>
      <c r="G907" s="1"/>
      <c r="H907" s="4"/>
      <c r="I907" s="49"/>
      <c r="J907" s="34"/>
      <c r="K907" s="4"/>
      <c r="L907" s="4"/>
      <c r="M907" s="4"/>
      <c r="N907" s="2"/>
      <c r="O907" s="2"/>
      <c r="P907" s="1"/>
    </row>
    <row r="908" spans="1:16">
      <c r="A908" s="1"/>
      <c r="B908" s="204"/>
      <c r="C908" s="1"/>
      <c r="D908" s="1"/>
      <c r="E908" s="1"/>
      <c r="F908" s="279"/>
      <c r="G908" s="1"/>
      <c r="H908" s="4"/>
      <c r="I908" s="49"/>
      <c r="J908" s="34"/>
      <c r="K908" s="4"/>
      <c r="L908" s="4"/>
      <c r="M908" s="4"/>
      <c r="N908" s="2"/>
      <c r="O908" s="2"/>
      <c r="P908" s="1"/>
    </row>
    <row r="909" spans="1:16">
      <c r="A909" s="1"/>
      <c r="B909" s="204"/>
      <c r="C909" s="1"/>
      <c r="D909" s="1"/>
      <c r="E909" s="1"/>
      <c r="F909" s="279"/>
      <c r="G909" s="1"/>
      <c r="H909" s="4"/>
      <c r="I909" s="49"/>
      <c r="J909" s="34"/>
      <c r="K909" s="4"/>
      <c r="L909" s="4"/>
      <c r="M909" s="4"/>
      <c r="N909" s="2"/>
      <c r="O909" s="2"/>
      <c r="P909" s="1"/>
    </row>
    <row r="910" spans="1:16">
      <c r="A910" s="1"/>
      <c r="B910" s="204"/>
      <c r="C910" s="1"/>
      <c r="D910" s="1"/>
      <c r="E910" s="1"/>
      <c r="F910" s="279"/>
      <c r="G910" s="1"/>
      <c r="H910" s="4"/>
      <c r="I910" s="49"/>
      <c r="J910" s="34"/>
      <c r="K910" s="4"/>
      <c r="L910" s="4"/>
      <c r="M910" s="4"/>
      <c r="N910" s="2"/>
      <c r="O910" s="2"/>
      <c r="P910" s="1"/>
    </row>
    <row r="911" spans="1:16">
      <c r="A911" s="1"/>
      <c r="B911" s="204"/>
      <c r="C911" s="1"/>
      <c r="D911" s="1"/>
      <c r="E911" s="1"/>
      <c r="F911" s="279"/>
      <c r="G911" s="1"/>
      <c r="H911" s="4"/>
      <c r="I911" s="49"/>
      <c r="J911" s="34"/>
      <c r="K911" s="4"/>
      <c r="L911" s="4"/>
      <c r="M911" s="4"/>
      <c r="N911" s="2"/>
      <c r="O911" s="2"/>
      <c r="P911" s="1"/>
    </row>
    <row r="912" spans="1:16">
      <c r="A912" s="1"/>
      <c r="B912" s="204"/>
      <c r="C912" s="1"/>
      <c r="D912" s="1"/>
      <c r="E912" s="1"/>
      <c r="F912" s="279"/>
      <c r="G912" s="1"/>
      <c r="H912" s="4"/>
      <c r="I912" s="49"/>
      <c r="J912" s="34"/>
      <c r="K912" s="4"/>
      <c r="L912" s="4"/>
      <c r="M912" s="4"/>
      <c r="N912" s="2"/>
      <c r="O912" s="2"/>
      <c r="P912" s="1"/>
    </row>
    <row r="913" spans="1:16">
      <c r="A913" s="1"/>
      <c r="B913" s="204"/>
      <c r="C913" s="1"/>
      <c r="D913" s="1"/>
      <c r="E913" s="1"/>
      <c r="F913" s="279"/>
      <c r="G913" s="1"/>
      <c r="H913" s="4"/>
      <c r="I913" s="49"/>
      <c r="J913" s="34"/>
      <c r="K913" s="4"/>
      <c r="L913" s="4"/>
      <c r="M913" s="4"/>
      <c r="N913" s="2"/>
      <c r="O913" s="2"/>
      <c r="P913" s="1"/>
    </row>
    <row r="914" spans="1:16">
      <c r="A914" s="1"/>
      <c r="B914" s="204"/>
      <c r="C914" s="1"/>
      <c r="D914" s="1"/>
      <c r="E914" s="1"/>
      <c r="F914" s="279"/>
      <c r="G914" s="1"/>
      <c r="H914" s="4"/>
      <c r="I914" s="49"/>
      <c r="J914" s="34"/>
      <c r="K914" s="4"/>
      <c r="L914" s="4"/>
      <c r="M914" s="4"/>
      <c r="N914" s="2"/>
      <c r="O914" s="2"/>
      <c r="P914" s="1"/>
    </row>
    <row r="915" spans="1:16">
      <c r="A915" s="1"/>
      <c r="B915" s="204"/>
      <c r="C915" s="1"/>
      <c r="D915" s="1"/>
      <c r="E915" s="1"/>
      <c r="F915" s="279"/>
      <c r="G915" s="1"/>
      <c r="H915" s="4"/>
      <c r="I915" s="49"/>
      <c r="J915" s="34"/>
      <c r="K915" s="4"/>
      <c r="L915" s="4"/>
      <c r="M915" s="4"/>
      <c r="N915" s="2"/>
      <c r="O915" s="2"/>
      <c r="P915" s="1"/>
    </row>
    <row r="916" spans="1:16">
      <c r="A916" s="1"/>
      <c r="B916" s="204"/>
      <c r="C916" s="1"/>
      <c r="D916" s="1"/>
      <c r="E916" s="1"/>
      <c r="F916" s="279"/>
      <c r="G916" s="1"/>
      <c r="H916" s="4"/>
      <c r="I916" s="49"/>
      <c r="J916" s="34"/>
      <c r="K916" s="4"/>
      <c r="L916" s="4"/>
      <c r="M916" s="4"/>
      <c r="N916" s="2"/>
      <c r="O916" s="2"/>
      <c r="P916" s="1"/>
    </row>
    <row r="917" spans="1:16">
      <c r="A917" s="1"/>
      <c r="B917" s="204"/>
      <c r="C917" s="1"/>
      <c r="D917" s="1"/>
      <c r="E917" s="1"/>
      <c r="F917" s="279"/>
      <c r="G917" s="1"/>
      <c r="H917" s="4"/>
      <c r="I917" s="49"/>
      <c r="J917" s="34"/>
      <c r="K917" s="4"/>
      <c r="L917" s="4"/>
      <c r="M917" s="4"/>
      <c r="N917" s="2"/>
      <c r="O917" s="2"/>
      <c r="P917" s="1"/>
    </row>
    <row r="918" spans="1:16">
      <c r="A918" s="1"/>
      <c r="B918" s="204"/>
      <c r="C918" s="1"/>
      <c r="D918" s="1"/>
      <c r="E918" s="1"/>
      <c r="F918" s="279"/>
      <c r="G918" s="1"/>
      <c r="H918" s="4"/>
      <c r="I918" s="49"/>
      <c r="J918" s="34"/>
      <c r="K918" s="4"/>
      <c r="L918" s="4"/>
      <c r="M918" s="4"/>
      <c r="N918" s="2"/>
      <c r="O918" s="2"/>
      <c r="P918" s="1"/>
    </row>
    <row r="919" spans="1:16">
      <c r="A919" s="1"/>
      <c r="B919" s="204"/>
      <c r="C919" s="1"/>
      <c r="D919" s="1"/>
      <c r="E919" s="1"/>
      <c r="F919" s="279"/>
      <c r="G919" s="1"/>
      <c r="H919" s="4"/>
      <c r="I919" s="49"/>
      <c r="J919" s="34"/>
      <c r="K919" s="4"/>
      <c r="L919" s="4"/>
      <c r="M919" s="4"/>
      <c r="N919" s="2"/>
      <c r="O919" s="2"/>
      <c r="P919" s="1"/>
    </row>
    <row r="920" spans="1:16">
      <c r="A920" s="1"/>
      <c r="B920" s="204"/>
      <c r="C920" s="1"/>
      <c r="D920" s="1"/>
      <c r="E920" s="1"/>
      <c r="F920" s="279"/>
      <c r="G920" s="1"/>
      <c r="H920" s="4"/>
      <c r="I920" s="49"/>
      <c r="J920" s="34"/>
      <c r="K920" s="4"/>
      <c r="L920" s="4"/>
      <c r="M920" s="4"/>
      <c r="N920" s="2"/>
      <c r="O920" s="2"/>
      <c r="P920" s="1"/>
    </row>
    <row r="921" spans="1:16">
      <c r="A921" s="1"/>
      <c r="B921" s="204"/>
      <c r="C921" s="1"/>
      <c r="D921" s="1"/>
      <c r="E921" s="1"/>
      <c r="F921" s="279"/>
      <c r="G921" s="1"/>
      <c r="H921" s="4"/>
      <c r="I921" s="49"/>
      <c r="J921" s="34"/>
      <c r="K921" s="4"/>
      <c r="L921" s="4"/>
      <c r="M921" s="4"/>
      <c r="N921" s="2"/>
      <c r="O921" s="2"/>
      <c r="P921" s="1"/>
    </row>
    <row r="922" spans="1:16">
      <c r="A922" s="1"/>
      <c r="B922" s="204"/>
      <c r="C922" s="1"/>
      <c r="D922" s="1"/>
      <c r="E922" s="1"/>
      <c r="F922" s="279"/>
      <c r="G922" s="1"/>
      <c r="H922" s="4"/>
      <c r="I922" s="49"/>
      <c r="J922" s="34"/>
      <c r="K922" s="4"/>
      <c r="L922" s="4"/>
      <c r="M922" s="4"/>
      <c r="N922" s="2"/>
      <c r="O922" s="2"/>
      <c r="P922" s="1"/>
    </row>
    <row r="923" spans="1:16">
      <c r="A923" s="1"/>
      <c r="B923" s="204"/>
      <c r="C923" s="1"/>
      <c r="D923" s="1"/>
      <c r="E923" s="1"/>
      <c r="F923" s="279"/>
      <c r="G923" s="1"/>
      <c r="H923" s="4"/>
      <c r="I923" s="49"/>
      <c r="J923" s="34"/>
      <c r="K923" s="4"/>
      <c r="L923" s="4"/>
      <c r="M923" s="4"/>
      <c r="N923" s="2"/>
      <c r="O923" s="2"/>
      <c r="P923" s="1"/>
    </row>
    <row r="924" spans="1:16">
      <c r="A924" s="1"/>
      <c r="B924" s="204"/>
      <c r="C924" s="1"/>
      <c r="D924" s="1"/>
      <c r="E924" s="1"/>
      <c r="F924" s="279"/>
      <c r="G924" s="1"/>
      <c r="H924" s="4"/>
      <c r="I924" s="49"/>
      <c r="J924" s="34"/>
      <c r="K924" s="4"/>
      <c r="L924" s="4"/>
      <c r="M924" s="4"/>
      <c r="N924" s="2"/>
      <c r="O924" s="2"/>
      <c r="P924" s="1"/>
    </row>
    <row r="925" spans="1:16">
      <c r="A925" s="1"/>
      <c r="B925" s="204"/>
      <c r="C925" s="1"/>
      <c r="D925" s="1"/>
      <c r="E925" s="1"/>
      <c r="F925" s="279"/>
      <c r="G925" s="1"/>
      <c r="H925" s="4"/>
      <c r="I925" s="49"/>
      <c r="J925" s="34"/>
      <c r="K925" s="4"/>
      <c r="L925" s="4"/>
      <c r="M925" s="4"/>
      <c r="N925" s="2"/>
      <c r="O925" s="2"/>
      <c r="P925" s="1"/>
    </row>
    <row r="926" spans="1:16">
      <c r="A926" s="1"/>
      <c r="B926" s="204"/>
      <c r="C926" s="1"/>
      <c r="D926" s="1"/>
      <c r="E926" s="1"/>
      <c r="F926" s="279"/>
      <c r="G926" s="1"/>
      <c r="H926" s="4"/>
      <c r="I926" s="49"/>
      <c r="J926" s="34"/>
      <c r="K926" s="4"/>
      <c r="L926" s="4"/>
      <c r="M926" s="4"/>
      <c r="N926" s="2"/>
      <c r="O926" s="2"/>
      <c r="P926" s="1"/>
    </row>
    <row r="927" spans="1:16">
      <c r="A927" s="1"/>
      <c r="B927" s="204"/>
      <c r="C927" s="1"/>
      <c r="D927" s="1"/>
      <c r="E927" s="1"/>
      <c r="F927" s="279"/>
      <c r="G927" s="1"/>
      <c r="H927" s="4"/>
      <c r="I927" s="49"/>
      <c r="J927" s="34"/>
      <c r="K927" s="4"/>
      <c r="L927" s="4"/>
      <c r="M927" s="4"/>
      <c r="N927" s="2"/>
      <c r="O927" s="2"/>
      <c r="P927" s="1"/>
    </row>
    <row r="928" spans="1:16">
      <c r="A928" s="1"/>
      <c r="B928" s="204"/>
      <c r="C928" s="1"/>
      <c r="D928" s="1"/>
      <c r="E928" s="1"/>
      <c r="F928" s="279"/>
      <c r="G928" s="1"/>
      <c r="H928" s="4"/>
      <c r="I928" s="49"/>
      <c r="J928" s="34"/>
      <c r="K928" s="4"/>
      <c r="L928" s="4"/>
      <c r="M928" s="4"/>
      <c r="N928" s="2"/>
      <c r="O928" s="2"/>
      <c r="P928" s="1"/>
    </row>
    <row r="929" spans="1:16">
      <c r="A929" s="1"/>
      <c r="B929" s="204"/>
      <c r="C929" s="1"/>
      <c r="D929" s="1"/>
      <c r="E929" s="1"/>
      <c r="F929" s="279"/>
      <c r="G929" s="1"/>
      <c r="H929" s="4"/>
      <c r="I929" s="49"/>
      <c r="J929" s="34"/>
      <c r="K929" s="4"/>
      <c r="L929" s="4"/>
      <c r="M929" s="4"/>
      <c r="N929" s="2"/>
      <c r="O929" s="2"/>
      <c r="P929" s="1"/>
    </row>
    <row r="930" spans="1:16">
      <c r="A930" s="1"/>
      <c r="B930" s="204"/>
      <c r="C930" s="1"/>
      <c r="D930" s="1"/>
      <c r="E930" s="1"/>
      <c r="F930" s="279"/>
      <c r="G930" s="1"/>
      <c r="H930" s="4"/>
      <c r="I930" s="49"/>
      <c r="J930" s="34"/>
      <c r="K930" s="4"/>
      <c r="L930" s="4"/>
      <c r="M930" s="4"/>
      <c r="N930" s="2"/>
      <c r="O930" s="2"/>
      <c r="P930" s="1"/>
    </row>
    <row r="931" spans="1:16">
      <c r="A931" s="1"/>
      <c r="B931" s="204"/>
      <c r="C931" s="1"/>
      <c r="D931" s="1"/>
      <c r="E931" s="1"/>
      <c r="F931" s="279"/>
      <c r="G931" s="1"/>
      <c r="H931" s="4"/>
      <c r="I931" s="49"/>
      <c r="J931" s="34"/>
      <c r="K931" s="4"/>
      <c r="L931" s="4"/>
      <c r="M931" s="4"/>
      <c r="N931" s="2"/>
      <c r="O931" s="2"/>
      <c r="P931" s="1"/>
    </row>
    <row r="932" spans="1:16">
      <c r="A932" s="1"/>
      <c r="B932" s="204"/>
      <c r="C932" s="1"/>
      <c r="D932" s="1"/>
      <c r="E932" s="1"/>
      <c r="F932" s="279"/>
      <c r="G932" s="1"/>
      <c r="H932" s="4"/>
      <c r="I932" s="49"/>
      <c r="J932" s="34"/>
      <c r="K932" s="4"/>
      <c r="L932" s="4"/>
      <c r="M932" s="4"/>
      <c r="N932" s="2"/>
      <c r="O932" s="2"/>
      <c r="P932" s="1"/>
    </row>
    <row r="933" spans="1:16">
      <c r="A933" s="1"/>
      <c r="B933" s="204"/>
      <c r="C933" s="1"/>
      <c r="D933" s="1"/>
      <c r="E933" s="1"/>
      <c r="F933" s="279"/>
      <c r="G933" s="1"/>
      <c r="H933" s="4"/>
      <c r="I933" s="49"/>
      <c r="J933" s="34"/>
      <c r="K933" s="4"/>
      <c r="L933" s="4"/>
      <c r="M933" s="4"/>
      <c r="N933" s="2"/>
      <c r="O933" s="2"/>
      <c r="P933" s="1"/>
    </row>
    <row r="934" spans="1:16">
      <c r="A934" s="1"/>
      <c r="B934" s="204"/>
      <c r="C934" s="1"/>
      <c r="D934" s="1"/>
      <c r="E934" s="1"/>
      <c r="F934" s="279"/>
      <c r="G934" s="1"/>
      <c r="H934" s="4"/>
      <c r="I934" s="49"/>
      <c r="J934" s="34"/>
      <c r="K934" s="4"/>
      <c r="L934" s="4"/>
      <c r="M934" s="4"/>
      <c r="N934" s="2"/>
      <c r="O934" s="2"/>
      <c r="P934" s="1"/>
    </row>
    <row r="935" spans="1:16">
      <c r="A935" s="1"/>
      <c r="B935" s="204"/>
      <c r="C935" s="1"/>
      <c r="D935" s="1"/>
      <c r="E935" s="1"/>
      <c r="F935" s="279"/>
      <c r="G935" s="1"/>
      <c r="H935" s="4"/>
      <c r="I935" s="49"/>
      <c r="J935" s="34"/>
      <c r="K935" s="4"/>
      <c r="L935" s="4"/>
      <c r="M935" s="4"/>
      <c r="N935" s="2"/>
      <c r="O935" s="2"/>
      <c r="P935" s="1"/>
    </row>
    <row r="936" spans="1:16">
      <c r="A936" s="1"/>
      <c r="B936" s="204"/>
      <c r="C936" s="1"/>
      <c r="D936" s="1"/>
      <c r="E936" s="1"/>
      <c r="F936" s="279"/>
      <c r="G936" s="1"/>
      <c r="H936" s="4"/>
      <c r="I936" s="49"/>
      <c r="J936" s="34"/>
      <c r="K936" s="4"/>
      <c r="L936" s="4"/>
      <c r="M936" s="4"/>
      <c r="N936" s="2"/>
      <c r="O936" s="2"/>
      <c r="P936" s="1"/>
    </row>
    <row r="937" spans="1:16">
      <c r="A937" s="1"/>
      <c r="B937" s="204"/>
      <c r="C937" s="1"/>
      <c r="D937" s="1"/>
      <c r="E937" s="1"/>
      <c r="F937" s="279"/>
      <c r="G937" s="1"/>
      <c r="H937" s="4"/>
      <c r="I937" s="49"/>
      <c r="J937" s="34"/>
      <c r="K937" s="4"/>
      <c r="L937" s="4"/>
      <c r="M937" s="4"/>
      <c r="N937" s="2"/>
      <c r="O937" s="2"/>
      <c r="P937" s="1"/>
    </row>
    <row r="938" spans="1:16">
      <c r="A938" s="1"/>
      <c r="B938" s="204"/>
      <c r="C938" s="1"/>
      <c r="D938" s="1"/>
      <c r="E938" s="1"/>
      <c r="F938" s="279"/>
      <c r="G938" s="1"/>
      <c r="H938" s="4"/>
      <c r="I938" s="49"/>
      <c r="J938" s="34"/>
      <c r="K938" s="4"/>
      <c r="L938" s="4"/>
      <c r="M938" s="4"/>
      <c r="N938" s="2"/>
      <c r="O938" s="2"/>
      <c r="P938" s="1"/>
    </row>
    <row r="939" spans="1:16">
      <c r="A939" s="1"/>
      <c r="B939" s="204"/>
      <c r="C939" s="1"/>
      <c r="D939" s="1"/>
      <c r="E939" s="1"/>
      <c r="F939" s="279"/>
      <c r="G939" s="1"/>
      <c r="H939" s="4"/>
      <c r="I939" s="49"/>
      <c r="J939" s="34"/>
      <c r="K939" s="4"/>
      <c r="L939" s="4"/>
      <c r="M939" s="4"/>
      <c r="N939" s="2"/>
      <c r="O939" s="2"/>
      <c r="P939" s="1"/>
    </row>
    <row r="940" spans="1:16">
      <c r="A940" s="1"/>
      <c r="B940" s="204"/>
      <c r="C940" s="1"/>
      <c r="D940" s="1"/>
      <c r="E940" s="1"/>
      <c r="F940" s="279"/>
      <c r="G940" s="1"/>
      <c r="H940" s="4"/>
      <c r="I940" s="49"/>
      <c r="J940" s="34"/>
      <c r="K940" s="4"/>
      <c r="L940" s="4"/>
      <c r="M940" s="4"/>
      <c r="N940" s="2"/>
      <c r="O940" s="2"/>
      <c r="P940" s="1"/>
    </row>
    <row r="941" spans="1:16">
      <c r="A941" s="1"/>
      <c r="B941" s="204"/>
      <c r="C941" s="1"/>
      <c r="D941" s="1"/>
      <c r="E941" s="1"/>
      <c r="F941" s="279"/>
      <c r="G941" s="1"/>
      <c r="H941" s="4"/>
      <c r="I941" s="49"/>
      <c r="J941" s="34"/>
      <c r="K941" s="4"/>
      <c r="L941" s="4"/>
      <c r="M941" s="4"/>
      <c r="N941" s="2"/>
      <c r="O941" s="2"/>
      <c r="P941" s="1"/>
    </row>
    <row r="942" spans="1:16">
      <c r="A942" s="1"/>
      <c r="B942" s="204"/>
      <c r="C942" s="1"/>
      <c r="D942" s="1"/>
      <c r="E942" s="1"/>
      <c r="F942" s="279"/>
      <c r="G942" s="1"/>
      <c r="H942" s="4"/>
      <c r="I942" s="49"/>
      <c r="J942" s="34"/>
      <c r="K942" s="4"/>
      <c r="L942" s="4"/>
      <c r="M942" s="4"/>
      <c r="N942" s="2"/>
      <c r="O942" s="2"/>
      <c r="P942" s="1"/>
    </row>
    <row r="943" spans="1:16">
      <c r="A943" s="1"/>
      <c r="B943" s="204"/>
      <c r="C943" s="1"/>
      <c r="D943" s="1"/>
      <c r="E943" s="1"/>
      <c r="F943" s="279"/>
      <c r="G943" s="1"/>
      <c r="H943" s="4"/>
      <c r="I943" s="49"/>
      <c r="J943" s="34"/>
      <c r="K943" s="4"/>
      <c r="L943" s="4"/>
      <c r="M943" s="4"/>
      <c r="N943" s="2"/>
      <c r="O943" s="2"/>
      <c r="P943" s="1"/>
    </row>
    <row r="944" spans="1:16">
      <c r="A944" s="1"/>
      <c r="B944" s="204"/>
      <c r="C944" s="1"/>
      <c r="D944" s="1"/>
      <c r="E944" s="1"/>
      <c r="F944" s="279"/>
      <c r="G944" s="1"/>
      <c r="H944" s="4"/>
      <c r="I944" s="49"/>
      <c r="J944" s="34"/>
      <c r="K944" s="4"/>
      <c r="L944" s="4"/>
      <c r="M944" s="4"/>
      <c r="N944" s="2"/>
      <c r="O944" s="2"/>
      <c r="P944" s="1"/>
    </row>
    <row r="945" spans="1:16">
      <c r="A945" s="1"/>
      <c r="B945" s="204"/>
      <c r="C945" s="1"/>
      <c r="D945" s="1"/>
      <c r="E945" s="1"/>
      <c r="F945" s="279"/>
      <c r="G945" s="1"/>
      <c r="H945" s="4"/>
      <c r="I945" s="49"/>
      <c r="J945" s="34"/>
      <c r="K945" s="4"/>
      <c r="L945" s="4"/>
      <c r="M945" s="4"/>
      <c r="N945" s="2"/>
      <c r="O945" s="2"/>
      <c r="P945" s="1"/>
    </row>
    <row r="946" spans="1:16">
      <c r="A946" s="1"/>
      <c r="B946" s="204"/>
      <c r="C946" s="1"/>
      <c r="D946" s="1"/>
      <c r="E946" s="1"/>
      <c r="F946" s="279"/>
      <c r="G946" s="1"/>
      <c r="H946" s="4"/>
      <c r="I946" s="49"/>
      <c r="J946" s="34"/>
      <c r="K946" s="4"/>
      <c r="L946" s="4"/>
      <c r="M946" s="4"/>
      <c r="N946" s="2"/>
      <c r="O946" s="2"/>
      <c r="P946" s="1"/>
    </row>
    <row r="947" spans="1:16">
      <c r="A947" s="1"/>
      <c r="B947" s="204"/>
      <c r="C947" s="1"/>
      <c r="D947" s="1"/>
      <c r="E947" s="1"/>
      <c r="F947" s="279"/>
      <c r="G947" s="1"/>
      <c r="H947" s="4"/>
      <c r="I947" s="49"/>
      <c r="J947" s="34"/>
      <c r="K947" s="4"/>
      <c r="L947" s="4"/>
      <c r="M947" s="4"/>
      <c r="N947" s="2"/>
      <c r="O947" s="2"/>
      <c r="P947" s="1"/>
    </row>
    <row r="948" spans="1:16">
      <c r="A948" s="1"/>
      <c r="B948" s="204"/>
      <c r="C948" s="1"/>
      <c r="D948" s="1"/>
      <c r="E948" s="1"/>
      <c r="F948" s="279"/>
      <c r="G948" s="1"/>
      <c r="H948" s="4"/>
      <c r="I948" s="49"/>
      <c r="J948" s="34"/>
      <c r="K948" s="4"/>
      <c r="L948" s="4"/>
      <c r="M948" s="4"/>
      <c r="N948" s="2"/>
      <c r="O948" s="2"/>
      <c r="P948" s="1"/>
    </row>
    <row r="949" spans="1:16">
      <c r="A949" s="1"/>
      <c r="B949" s="204"/>
      <c r="C949" s="1"/>
      <c r="D949" s="1"/>
      <c r="E949" s="1"/>
      <c r="F949" s="279"/>
      <c r="G949" s="1"/>
      <c r="H949" s="4"/>
      <c r="I949" s="49"/>
      <c r="J949" s="34"/>
      <c r="K949" s="4"/>
      <c r="L949" s="4"/>
      <c r="M949" s="4"/>
      <c r="N949" s="2"/>
      <c r="O949" s="2"/>
      <c r="P949" s="1"/>
    </row>
    <row r="950" spans="1:16">
      <c r="A950" s="1"/>
      <c r="B950" s="204"/>
      <c r="C950" s="1"/>
      <c r="D950" s="1"/>
      <c r="E950" s="1"/>
      <c r="F950" s="279"/>
      <c r="G950" s="1"/>
      <c r="H950" s="4"/>
      <c r="I950" s="49"/>
      <c r="J950" s="34"/>
      <c r="K950" s="4"/>
      <c r="L950" s="4"/>
      <c r="M950" s="4"/>
      <c r="N950" s="2"/>
      <c r="O950" s="2"/>
      <c r="P950" s="1"/>
    </row>
    <row r="951" spans="1:16">
      <c r="A951" s="1"/>
      <c r="B951" s="204"/>
      <c r="C951" s="1"/>
      <c r="D951" s="1"/>
      <c r="E951" s="1"/>
      <c r="F951" s="279"/>
      <c r="G951" s="1"/>
      <c r="H951" s="4"/>
      <c r="I951" s="49"/>
      <c r="J951" s="34"/>
      <c r="K951" s="4"/>
      <c r="L951" s="4"/>
      <c r="M951" s="4"/>
      <c r="N951" s="2"/>
      <c r="O951" s="2"/>
      <c r="P951" s="1"/>
    </row>
    <row r="952" spans="1:16">
      <c r="A952" s="1"/>
      <c r="B952" s="204"/>
      <c r="C952" s="1"/>
      <c r="D952" s="1"/>
      <c r="E952" s="1"/>
      <c r="F952" s="279"/>
      <c r="G952" s="1"/>
      <c r="H952" s="4"/>
      <c r="I952" s="49"/>
      <c r="J952" s="34"/>
      <c r="K952" s="4"/>
      <c r="L952" s="4"/>
      <c r="M952" s="4"/>
      <c r="N952" s="2"/>
      <c r="O952" s="2"/>
      <c r="P952" s="1"/>
    </row>
    <row r="953" spans="1:16">
      <c r="A953" s="1"/>
      <c r="B953" s="204"/>
      <c r="C953" s="1"/>
      <c r="D953" s="1"/>
      <c r="E953" s="1"/>
      <c r="F953" s="279"/>
      <c r="G953" s="1"/>
      <c r="H953" s="4"/>
      <c r="I953" s="49"/>
      <c r="J953" s="34"/>
      <c r="K953" s="4"/>
      <c r="L953" s="4"/>
      <c r="M953" s="4"/>
      <c r="N953" s="2"/>
      <c r="O953" s="2"/>
      <c r="P953" s="1"/>
    </row>
    <row r="954" spans="1:16">
      <c r="A954" s="1"/>
      <c r="B954" s="204"/>
      <c r="C954" s="1"/>
      <c r="D954" s="1"/>
      <c r="E954" s="1"/>
      <c r="F954" s="279"/>
      <c r="G954" s="1"/>
      <c r="H954" s="4"/>
      <c r="I954" s="49"/>
      <c r="J954" s="34"/>
      <c r="K954" s="4"/>
      <c r="L954" s="4"/>
      <c r="M954" s="4"/>
      <c r="N954" s="2"/>
      <c r="O954" s="2"/>
      <c r="P954" s="1"/>
    </row>
    <row r="955" spans="1:16">
      <c r="A955" s="1"/>
      <c r="B955" s="204"/>
      <c r="C955" s="1"/>
      <c r="D955" s="1"/>
      <c r="E955" s="1"/>
      <c r="F955" s="279"/>
      <c r="G955" s="1"/>
      <c r="H955" s="4"/>
      <c r="I955" s="49"/>
      <c r="J955" s="34"/>
      <c r="K955" s="4"/>
      <c r="L955" s="4"/>
      <c r="M955" s="4"/>
      <c r="N955" s="2"/>
      <c r="O955" s="2"/>
      <c r="P955" s="1"/>
    </row>
    <row r="956" spans="1:16">
      <c r="A956" s="1"/>
      <c r="B956" s="204"/>
      <c r="C956" s="1"/>
      <c r="D956" s="1"/>
      <c r="E956" s="1"/>
      <c r="F956" s="279"/>
      <c r="G956" s="1"/>
      <c r="H956" s="4"/>
      <c r="I956" s="49"/>
      <c r="J956" s="34"/>
      <c r="K956" s="4"/>
      <c r="L956" s="4"/>
      <c r="M956" s="4"/>
      <c r="N956" s="2"/>
      <c r="O956" s="2"/>
      <c r="P956" s="1"/>
    </row>
    <row r="957" spans="1:16">
      <c r="A957" s="1"/>
      <c r="B957" s="204"/>
      <c r="C957" s="1"/>
      <c r="D957" s="1"/>
      <c r="E957" s="1"/>
      <c r="F957" s="279"/>
      <c r="G957" s="1"/>
      <c r="H957" s="4"/>
      <c r="I957" s="49"/>
      <c r="J957" s="34"/>
      <c r="K957" s="4"/>
      <c r="L957" s="4"/>
      <c r="M957" s="4"/>
      <c r="N957" s="2"/>
      <c r="O957" s="2"/>
      <c r="P957" s="1"/>
    </row>
    <row r="958" spans="1:16">
      <c r="A958" s="1"/>
      <c r="B958" s="204"/>
      <c r="C958" s="1"/>
      <c r="D958" s="1"/>
      <c r="E958" s="1"/>
      <c r="F958" s="279"/>
      <c r="G958" s="1"/>
      <c r="H958" s="4"/>
      <c r="I958" s="49"/>
      <c r="J958" s="34"/>
      <c r="K958" s="4"/>
      <c r="L958" s="4"/>
      <c r="M958" s="4"/>
      <c r="N958" s="2"/>
      <c r="O958" s="2"/>
      <c r="P958" s="1"/>
    </row>
    <row r="959" spans="1:16">
      <c r="A959" s="1"/>
      <c r="B959" s="204"/>
      <c r="C959" s="1"/>
      <c r="D959" s="1"/>
      <c r="E959" s="1"/>
      <c r="F959" s="279"/>
      <c r="G959" s="1"/>
      <c r="H959" s="4"/>
      <c r="I959" s="49"/>
      <c r="J959" s="34"/>
      <c r="K959" s="4"/>
      <c r="L959" s="4"/>
      <c r="M959" s="4"/>
      <c r="N959" s="2"/>
      <c r="O959" s="2"/>
      <c r="P959" s="1"/>
    </row>
    <row r="960" spans="1:16">
      <c r="A960" s="1"/>
      <c r="B960" s="204"/>
      <c r="C960" s="1"/>
      <c r="D960" s="1"/>
      <c r="E960" s="1"/>
      <c r="F960" s="279"/>
      <c r="G960" s="1"/>
      <c r="H960" s="4"/>
      <c r="I960" s="49"/>
      <c r="J960" s="34"/>
      <c r="K960" s="4"/>
      <c r="L960" s="4"/>
      <c r="M960" s="4"/>
      <c r="N960" s="2"/>
      <c r="O960" s="2"/>
      <c r="P960" s="1"/>
    </row>
    <row r="961" spans="1:16">
      <c r="A961" s="1"/>
      <c r="B961" s="204"/>
      <c r="C961" s="1"/>
      <c r="D961" s="1"/>
      <c r="E961" s="1"/>
      <c r="F961" s="279"/>
      <c r="G961" s="1"/>
      <c r="H961" s="4"/>
      <c r="I961" s="49"/>
      <c r="J961" s="34"/>
      <c r="K961" s="4"/>
      <c r="L961" s="4"/>
      <c r="M961" s="4"/>
      <c r="N961" s="2"/>
      <c r="O961" s="2"/>
      <c r="P961" s="1"/>
    </row>
    <row r="962" spans="1:16">
      <c r="A962" s="1"/>
      <c r="B962" s="204"/>
      <c r="C962" s="1"/>
      <c r="D962" s="1"/>
      <c r="E962" s="1"/>
      <c r="F962" s="279"/>
      <c r="G962" s="1"/>
      <c r="H962" s="4"/>
      <c r="I962" s="49"/>
      <c r="J962" s="34"/>
      <c r="K962" s="4"/>
      <c r="L962" s="4"/>
      <c r="M962" s="4"/>
      <c r="N962" s="2"/>
      <c r="O962" s="2"/>
      <c r="P962" s="1"/>
    </row>
    <row r="963" spans="1:16">
      <c r="A963" s="1"/>
      <c r="B963" s="204"/>
      <c r="C963" s="1"/>
      <c r="D963" s="1"/>
      <c r="E963" s="1"/>
      <c r="F963" s="279"/>
      <c r="G963" s="1"/>
      <c r="H963" s="4"/>
      <c r="I963" s="49"/>
      <c r="J963" s="34"/>
      <c r="K963" s="4"/>
      <c r="L963" s="4"/>
      <c r="M963" s="4"/>
      <c r="N963" s="2"/>
      <c r="O963" s="2"/>
      <c r="P963" s="1"/>
    </row>
    <row r="964" spans="1:16">
      <c r="A964" s="1"/>
      <c r="B964" s="204"/>
      <c r="C964" s="1"/>
      <c r="D964" s="1"/>
      <c r="E964" s="1"/>
      <c r="F964" s="279"/>
      <c r="G964" s="1"/>
      <c r="H964" s="4"/>
      <c r="I964" s="49"/>
      <c r="J964" s="34"/>
      <c r="K964" s="4"/>
      <c r="L964" s="4"/>
      <c r="M964" s="4"/>
      <c r="N964" s="2"/>
      <c r="O964" s="2"/>
      <c r="P964" s="1"/>
    </row>
    <row r="965" spans="1:16">
      <c r="A965" s="1"/>
      <c r="B965" s="204"/>
      <c r="C965" s="1"/>
      <c r="D965" s="1"/>
      <c r="E965" s="1"/>
      <c r="F965" s="279"/>
      <c r="G965" s="1"/>
      <c r="H965" s="4"/>
      <c r="I965" s="49"/>
      <c r="J965" s="34"/>
      <c r="K965" s="4"/>
      <c r="L965" s="4"/>
      <c r="M965" s="4"/>
      <c r="N965" s="2"/>
      <c r="O965" s="2"/>
      <c r="P965" s="1"/>
    </row>
    <row r="966" spans="1:16">
      <c r="A966" s="1"/>
      <c r="B966" s="204"/>
      <c r="C966" s="1"/>
      <c r="D966" s="1"/>
      <c r="E966" s="1"/>
      <c r="F966" s="279"/>
      <c r="G966" s="1"/>
      <c r="H966" s="4"/>
      <c r="I966" s="49"/>
      <c r="J966" s="34"/>
      <c r="K966" s="4"/>
      <c r="L966" s="4"/>
      <c r="M966" s="4"/>
      <c r="N966" s="2"/>
      <c r="O966" s="2"/>
      <c r="P966" s="1"/>
    </row>
    <row r="967" spans="1:16">
      <c r="A967" s="1"/>
      <c r="B967" s="204"/>
      <c r="C967" s="1"/>
      <c r="D967" s="1"/>
      <c r="E967" s="1"/>
      <c r="F967" s="279"/>
      <c r="G967" s="1"/>
      <c r="H967" s="4"/>
      <c r="I967" s="49"/>
      <c r="J967" s="34"/>
      <c r="K967" s="4"/>
      <c r="L967" s="4"/>
      <c r="M967" s="4"/>
      <c r="N967" s="2"/>
      <c r="O967" s="2"/>
      <c r="P967" s="1"/>
    </row>
    <row r="968" spans="1:16">
      <c r="A968" s="1"/>
      <c r="B968" s="204"/>
      <c r="C968" s="1"/>
      <c r="D968" s="1"/>
      <c r="E968" s="1"/>
      <c r="F968" s="279"/>
      <c r="G968" s="1"/>
      <c r="H968" s="4"/>
      <c r="I968" s="49"/>
      <c r="J968" s="34"/>
      <c r="K968" s="4"/>
      <c r="L968" s="4"/>
      <c r="M968" s="4"/>
      <c r="N968" s="2"/>
      <c r="O968" s="2"/>
      <c r="P968" s="1"/>
    </row>
    <row r="969" spans="1:16">
      <c r="A969" s="1"/>
      <c r="B969" s="204"/>
      <c r="C969" s="1"/>
      <c r="D969" s="1"/>
      <c r="E969" s="1"/>
      <c r="F969" s="279"/>
      <c r="G969" s="1"/>
      <c r="H969" s="4"/>
      <c r="I969" s="49"/>
      <c r="J969" s="34"/>
      <c r="K969" s="4"/>
      <c r="L969" s="4"/>
      <c r="M969" s="4"/>
      <c r="N969" s="2"/>
      <c r="O969" s="2"/>
      <c r="P969" s="1"/>
    </row>
    <row r="970" spans="1:16">
      <c r="A970" s="1"/>
      <c r="B970" s="204"/>
      <c r="C970" s="1"/>
      <c r="D970" s="1"/>
      <c r="E970" s="1"/>
      <c r="F970" s="279"/>
      <c r="G970" s="1"/>
      <c r="H970" s="4"/>
      <c r="I970" s="49"/>
      <c r="J970" s="34"/>
      <c r="K970" s="4"/>
      <c r="L970" s="4"/>
      <c r="M970" s="4"/>
      <c r="N970" s="2"/>
      <c r="O970" s="2"/>
      <c r="P970" s="1"/>
    </row>
    <row r="971" spans="1:16">
      <c r="A971" s="1"/>
      <c r="B971" s="204"/>
      <c r="C971" s="1"/>
      <c r="D971" s="1"/>
      <c r="E971" s="1"/>
      <c r="F971" s="279"/>
      <c r="G971" s="1"/>
      <c r="H971" s="4"/>
      <c r="I971" s="49"/>
      <c r="J971" s="34"/>
      <c r="K971" s="4"/>
      <c r="L971" s="4"/>
      <c r="M971" s="4"/>
      <c r="N971" s="2"/>
      <c r="O971" s="2"/>
      <c r="P971" s="1"/>
    </row>
    <row r="972" spans="1:16">
      <c r="A972" s="1"/>
      <c r="B972" s="204"/>
      <c r="C972" s="1"/>
      <c r="D972" s="1"/>
      <c r="E972" s="1"/>
      <c r="F972" s="279"/>
      <c r="G972" s="1"/>
      <c r="H972" s="4"/>
      <c r="I972" s="49"/>
      <c r="J972" s="34"/>
      <c r="K972" s="4"/>
      <c r="L972" s="4"/>
      <c r="M972" s="4"/>
      <c r="N972" s="2"/>
      <c r="O972" s="2"/>
      <c r="P972" s="1"/>
    </row>
    <row r="973" spans="1:16">
      <c r="A973" s="1"/>
      <c r="B973" s="204"/>
      <c r="C973" s="1"/>
      <c r="D973" s="1"/>
      <c r="E973" s="1"/>
      <c r="F973" s="279"/>
      <c r="G973" s="1"/>
      <c r="H973" s="4"/>
      <c r="I973" s="49"/>
      <c r="J973" s="34"/>
      <c r="K973" s="4"/>
      <c r="L973" s="4"/>
      <c r="M973" s="4"/>
      <c r="N973" s="2"/>
      <c r="O973" s="2"/>
      <c r="P973" s="1"/>
    </row>
    <row r="974" spans="1:16">
      <c r="A974" s="1"/>
      <c r="B974" s="204"/>
      <c r="C974" s="1"/>
      <c r="D974" s="1"/>
      <c r="E974" s="1"/>
      <c r="F974" s="279"/>
      <c r="G974" s="1"/>
      <c r="H974" s="4"/>
      <c r="I974" s="49"/>
      <c r="J974" s="34"/>
      <c r="K974" s="4"/>
      <c r="L974" s="4"/>
      <c r="M974" s="4"/>
      <c r="N974" s="2"/>
      <c r="O974" s="2"/>
      <c r="P974" s="1"/>
    </row>
    <row r="975" spans="1:16">
      <c r="A975" s="1"/>
      <c r="B975" s="204"/>
      <c r="C975" s="1"/>
      <c r="D975" s="1"/>
      <c r="E975" s="1"/>
      <c r="F975" s="279"/>
      <c r="G975" s="1"/>
      <c r="H975" s="4"/>
      <c r="I975" s="49"/>
      <c r="J975" s="34"/>
      <c r="K975" s="4"/>
      <c r="L975" s="4"/>
      <c r="M975" s="4"/>
      <c r="N975" s="2"/>
      <c r="O975" s="2"/>
      <c r="P975" s="1"/>
    </row>
    <row r="976" spans="1:16">
      <c r="A976" s="1"/>
      <c r="B976" s="204"/>
      <c r="C976" s="1"/>
      <c r="D976" s="1"/>
      <c r="E976" s="1"/>
      <c r="F976" s="279"/>
      <c r="G976" s="1"/>
      <c r="H976" s="4"/>
      <c r="I976" s="49"/>
      <c r="J976" s="34"/>
      <c r="K976" s="4"/>
      <c r="L976" s="4"/>
      <c r="M976" s="4"/>
      <c r="N976" s="2"/>
      <c r="O976" s="2"/>
      <c r="P976" s="1"/>
    </row>
    <row r="977" spans="1:16">
      <c r="A977" s="1"/>
      <c r="B977" s="204"/>
      <c r="C977" s="1"/>
      <c r="D977" s="1"/>
      <c r="E977" s="1"/>
      <c r="F977" s="279"/>
      <c r="G977" s="1"/>
      <c r="H977" s="4"/>
      <c r="I977" s="49"/>
      <c r="J977" s="34"/>
      <c r="K977" s="4"/>
      <c r="L977" s="4"/>
      <c r="M977" s="4"/>
      <c r="N977" s="2"/>
      <c r="O977" s="2"/>
      <c r="P977" s="1"/>
    </row>
    <row r="978" spans="1:16">
      <c r="A978" s="1"/>
      <c r="B978" s="204"/>
      <c r="C978" s="1"/>
      <c r="D978" s="1"/>
      <c r="E978" s="1"/>
      <c r="F978" s="279"/>
      <c r="G978" s="1"/>
      <c r="H978" s="4"/>
      <c r="I978" s="49"/>
      <c r="J978" s="34"/>
      <c r="K978" s="4"/>
      <c r="L978" s="4"/>
      <c r="M978" s="4"/>
      <c r="N978" s="2"/>
      <c r="O978" s="2"/>
      <c r="P978" s="1"/>
    </row>
    <row r="979" spans="1:16">
      <c r="A979" s="1"/>
      <c r="B979" s="204"/>
      <c r="C979" s="1"/>
      <c r="D979" s="1"/>
      <c r="E979" s="1"/>
      <c r="F979" s="279"/>
      <c r="G979" s="1"/>
      <c r="H979" s="4"/>
      <c r="I979" s="49"/>
      <c r="J979" s="34"/>
      <c r="K979" s="4"/>
      <c r="L979" s="4"/>
      <c r="M979" s="4"/>
      <c r="N979" s="2"/>
      <c r="O979" s="2"/>
      <c r="P979" s="1"/>
    </row>
    <row r="980" spans="1:16">
      <c r="A980" s="1"/>
      <c r="B980" s="204"/>
      <c r="C980" s="1"/>
      <c r="D980" s="1"/>
      <c r="E980" s="1"/>
      <c r="F980" s="279"/>
      <c r="G980" s="1"/>
      <c r="H980" s="4"/>
      <c r="I980" s="49"/>
      <c r="J980" s="34"/>
      <c r="K980" s="4"/>
      <c r="L980" s="4"/>
      <c r="M980" s="4"/>
      <c r="N980" s="2"/>
      <c r="O980" s="2"/>
      <c r="P980" s="1"/>
    </row>
    <row r="981" spans="1:16">
      <c r="A981" s="1"/>
      <c r="B981" s="204"/>
      <c r="C981" s="1"/>
      <c r="D981" s="1"/>
      <c r="E981" s="1"/>
      <c r="F981" s="279"/>
      <c r="G981" s="1"/>
      <c r="H981" s="4"/>
      <c r="I981" s="49"/>
      <c r="J981" s="34"/>
      <c r="K981" s="4"/>
      <c r="L981" s="4"/>
      <c r="M981" s="4"/>
      <c r="N981" s="2"/>
      <c r="O981" s="2"/>
      <c r="P981" s="1"/>
    </row>
    <row r="982" spans="1:16">
      <c r="A982" s="1"/>
      <c r="B982" s="204"/>
      <c r="C982" s="1"/>
      <c r="D982" s="1"/>
      <c r="E982" s="1"/>
      <c r="F982" s="279"/>
      <c r="G982" s="1"/>
      <c r="H982" s="4"/>
      <c r="I982" s="49"/>
      <c r="J982" s="34"/>
      <c r="K982" s="4"/>
      <c r="L982" s="4"/>
      <c r="M982" s="4"/>
      <c r="N982" s="2"/>
      <c r="O982" s="2"/>
      <c r="P982" s="1"/>
    </row>
    <row r="983" spans="1:16">
      <c r="A983" s="1"/>
      <c r="B983" s="204"/>
      <c r="C983" s="1"/>
      <c r="D983" s="1"/>
      <c r="E983" s="1"/>
      <c r="F983" s="279"/>
      <c r="G983" s="1"/>
      <c r="H983" s="4"/>
      <c r="I983" s="49"/>
      <c r="J983" s="34"/>
      <c r="K983" s="4"/>
      <c r="L983" s="4"/>
      <c r="M983" s="4"/>
      <c r="N983" s="2"/>
      <c r="O983" s="2"/>
      <c r="P983" s="1"/>
    </row>
    <row r="984" spans="1:16">
      <c r="A984" s="1"/>
      <c r="B984" s="204"/>
      <c r="C984" s="1"/>
      <c r="D984" s="1"/>
      <c r="E984" s="1"/>
      <c r="F984" s="279"/>
      <c r="G984" s="1"/>
      <c r="H984" s="4"/>
      <c r="I984" s="49"/>
      <c r="J984" s="34"/>
      <c r="K984" s="4"/>
      <c r="L984" s="4"/>
      <c r="M984" s="4"/>
      <c r="N984" s="2"/>
      <c r="O984" s="2"/>
      <c r="P984" s="1"/>
    </row>
    <row r="985" spans="1:16">
      <c r="A985" s="1"/>
      <c r="B985" s="204"/>
      <c r="C985" s="1"/>
      <c r="D985" s="1"/>
      <c r="E985" s="1"/>
      <c r="F985" s="279"/>
      <c r="G985" s="1"/>
      <c r="H985" s="4"/>
      <c r="I985" s="49"/>
      <c r="J985" s="34"/>
      <c r="K985" s="4"/>
      <c r="L985" s="4"/>
      <c r="M985" s="4"/>
      <c r="N985" s="2"/>
      <c r="O985" s="2"/>
      <c r="P985" s="1"/>
    </row>
    <row r="986" spans="1:16">
      <c r="A986" s="1"/>
      <c r="B986" s="204"/>
      <c r="C986" s="1"/>
      <c r="D986" s="1"/>
      <c r="E986" s="1"/>
      <c r="F986" s="279"/>
      <c r="G986" s="1"/>
      <c r="H986" s="4"/>
      <c r="I986" s="49"/>
      <c r="J986" s="34"/>
      <c r="K986" s="4"/>
      <c r="L986" s="4"/>
      <c r="M986" s="4"/>
      <c r="N986" s="2"/>
      <c r="O986" s="2"/>
      <c r="P986" s="1"/>
    </row>
    <row r="987" spans="1:16">
      <c r="A987" s="1"/>
      <c r="B987" s="204"/>
      <c r="C987" s="1"/>
      <c r="D987" s="1"/>
      <c r="E987" s="1"/>
      <c r="F987" s="279"/>
      <c r="G987" s="1"/>
      <c r="H987" s="4"/>
      <c r="I987" s="49"/>
      <c r="J987" s="34"/>
      <c r="K987" s="4"/>
      <c r="L987" s="4"/>
      <c r="M987" s="4"/>
      <c r="N987" s="2"/>
      <c r="O987" s="2"/>
      <c r="P987" s="1"/>
    </row>
    <row r="988" spans="1:16">
      <c r="A988" s="1"/>
      <c r="B988" s="204"/>
      <c r="C988" s="1"/>
      <c r="D988" s="1"/>
      <c r="E988" s="1"/>
      <c r="F988" s="279"/>
      <c r="G988" s="1"/>
      <c r="H988" s="4"/>
      <c r="I988" s="49"/>
      <c r="J988" s="34"/>
      <c r="K988" s="4"/>
      <c r="L988" s="4"/>
      <c r="M988" s="4"/>
      <c r="N988" s="2"/>
      <c r="O988" s="2"/>
      <c r="P988" s="1"/>
    </row>
    <row r="989" spans="1:16">
      <c r="A989" s="1"/>
      <c r="B989" s="204"/>
      <c r="C989" s="1"/>
      <c r="D989" s="1"/>
      <c r="E989" s="1"/>
      <c r="F989" s="279"/>
      <c r="G989" s="1"/>
      <c r="H989" s="4"/>
      <c r="I989" s="49"/>
      <c r="J989" s="34"/>
      <c r="K989" s="4"/>
      <c r="L989" s="4"/>
      <c r="M989" s="4"/>
      <c r="N989" s="2"/>
      <c r="O989" s="2"/>
      <c r="P989" s="1"/>
    </row>
    <row r="990" spans="1:16">
      <c r="A990" s="1"/>
      <c r="B990" s="204"/>
      <c r="C990" s="1"/>
      <c r="D990" s="1"/>
      <c r="E990" s="1"/>
      <c r="F990" s="279"/>
      <c r="G990" s="1"/>
      <c r="H990" s="4"/>
      <c r="I990" s="49"/>
      <c r="J990" s="34"/>
      <c r="K990" s="4"/>
      <c r="L990" s="4"/>
      <c r="M990" s="4"/>
      <c r="N990" s="2"/>
      <c r="O990" s="2"/>
      <c r="P990" s="1"/>
    </row>
    <row r="991" spans="1:16">
      <c r="A991" s="1"/>
      <c r="B991" s="204"/>
      <c r="C991" s="1"/>
      <c r="D991" s="1"/>
      <c r="E991" s="1"/>
      <c r="F991" s="279"/>
      <c r="G991" s="1"/>
      <c r="H991" s="4"/>
      <c r="I991" s="49"/>
      <c r="J991" s="34"/>
      <c r="K991" s="4"/>
      <c r="L991" s="4"/>
      <c r="M991" s="4"/>
      <c r="N991" s="2"/>
      <c r="O991" s="2"/>
      <c r="P991" s="1"/>
    </row>
    <row r="992" spans="1:16">
      <c r="A992" s="1"/>
      <c r="B992" s="204"/>
      <c r="C992" s="1"/>
      <c r="D992" s="1"/>
      <c r="E992" s="1"/>
      <c r="F992" s="279"/>
      <c r="G992" s="1"/>
      <c r="H992" s="4"/>
      <c r="I992" s="49"/>
      <c r="J992" s="34"/>
      <c r="K992" s="4"/>
      <c r="L992" s="4"/>
      <c r="M992" s="4"/>
      <c r="N992" s="2"/>
      <c r="O992" s="2"/>
      <c r="P992" s="1"/>
    </row>
    <row r="993" spans="1:16">
      <c r="A993" s="1"/>
      <c r="B993" s="204"/>
      <c r="C993" s="1"/>
      <c r="D993" s="1"/>
      <c r="E993" s="1"/>
      <c r="F993" s="279"/>
      <c r="G993" s="1"/>
      <c r="H993" s="4"/>
      <c r="I993" s="49"/>
      <c r="J993" s="34"/>
      <c r="K993" s="4"/>
      <c r="L993" s="4"/>
      <c r="M993" s="4"/>
      <c r="N993" s="2"/>
      <c r="O993" s="2"/>
      <c r="P993" s="1"/>
    </row>
    <row r="994" spans="1:16">
      <c r="A994" s="1"/>
      <c r="B994" s="204"/>
      <c r="C994" s="1"/>
      <c r="D994" s="1"/>
      <c r="E994" s="1"/>
      <c r="F994" s="279"/>
      <c r="G994" s="1"/>
      <c r="H994" s="4"/>
      <c r="I994" s="49"/>
      <c r="J994" s="34"/>
      <c r="K994" s="4"/>
      <c r="L994" s="4"/>
      <c r="M994" s="4"/>
      <c r="N994" s="2"/>
      <c r="O994" s="2"/>
      <c r="P994" s="1"/>
    </row>
    <row r="995" spans="1:16">
      <c r="A995" s="1"/>
      <c r="B995" s="204"/>
      <c r="C995" s="1"/>
      <c r="D995" s="1"/>
      <c r="E995" s="1"/>
      <c r="F995" s="279"/>
      <c r="G995" s="1"/>
      <c r="H995" s="4"/>
      <c r="I995" s="49"/>
      <c r="J995" s="34"/>
      <c r="K995" s="4"/>
      <c r="L995" s="4"/>
      <c r="M995" s="4"/>
      <c r="N995" s="2"/>
      <c r="O995" s="2"/>
      <c r="P995" s="1"/>
    </row>
    <row r="996" spans="1:16">
      <c r="A996" s="1"/>
      <c r="B996" s="204"/>
      <c r="C996" s="1"/>
      <c r="D996" s="1"/>
      <c r="E996" s="1"/>
      <c r="F996" s="279"/>
      <c r="G996" s="1"/>
      <c r="H996" s="4"/>
      <c r="I996" s="49"/>
      <c r="J996" s="34"/>
      <c r="K996" s="4"/>
      <c r="L996" s="4"/>
      <c r="M996" s="4"/>
      <c r="N996" s="2"/>
      <c r="O996" s="2"/>
      <c r="P996" s="1"/>
    </row>
    <row r="997" spans="1:16">
      <c r="A997" s="1"/>
      <c r="B997" s="204"/>
      <c r="C997" s="1"/>
      <c r="D997" s="1"/>
      <c r="E997" s="1"/>
      <c r="F997" s="279"/>
      <c r="G997" s="1"/>
      <c r="H997" s="4"/>
      <c r="I997" s="49"/>
      <c r="J997" s="34"/>
      <c r="K997" s="4"/>
      <c r="L997" s="4"/>
      <c r="M997" s="4"/>
      <c r="N997" s="2"/>
      <c r="O997" s="2"/>
      <c r="P997" s="1"/>
    </row>
    <row r="998" spans="1:16">
      <c r="A998" s="1"/>
      <c r="B998" s="204"/>
      <c r="C998" s="1"/>
      <c r="D998" s="1"/>
      <c r="E998" s="1"/>
      <c r="F998" s="279"/>
      <c r="G998" s="1"/>
      <c r="H998" s="4"/>
      <c r="I998" s="49"/>
      <c r="J998" s="34"/>
      <c r="K998" s="4"/>
      <c r="L998" s="4"/>
      <c r="M998" s="4"/>
      <c r="N998" s="2"/>
      <c r="O998" s="2"/>
      <c r="P998" s="1"/>
    </row>
    <row r="999" spans="1:16">
      <c r="A999" s="1"/>
      <c r="B999" s="204"/>
      <c r="C999" s="1"/>
      <c r="D999" s="1"/>
      <c r="E999" s="1"/>
      <c r="F999" s="279"/>
      <c r="G999" s="1"/>
      <c r="H999" s="4"/>
      <c r="I999" s="49"/>
      <c r="J999" s="34"/>
      <c r="K999" s="4"/>
      <c r="L999" s="4"/>
      <c r="M999" s="4"/>
      <c r="N999" s="2"/>
      <c r="O999" s="2"/>
      <c r="P999" s="1"/>
    </row>
    <row r="1000" spans="1:16">
      <c r="A1000" s="1"/>
      <c r="B1000" s="204"/>
      <c r="C1000" s="1"/>
      <c r="D1000" s="1"/>
      <c r="E1000" s="1"/>
      <c r="F1000" s="279"/>
      <c r="G1000" s="1"/>
      <c r="H1000" s="4"/>
      <c r="I1000" s="49"/>
      <c r="J1000" s="34"/>
      <c r="K1000" s="4"/>
      <c r="L1000" s="4"/>
      <c r="M1000" s="4"/>
      <c r="N1000" s="2"/>
      <c r="O1000" s="2"/>
      <c r="P1000" s="1"/>
    </row>
    <row r="1001" spans="1:16">
      <c r="A1001" s="1"/>
      <c r="B1001" s="204"/>
      <c r="C1001" s="1"/>
      <c r="D1001" s="1"/>
      <c r="E1001" s="1"/>
      <c r="F1001" s="279"/>
      <c r="G1001" s="1"/>
      <c r="H1001" s="4"/>
      <c r="I1001" s="49"/>
      <c r="J1001" s="34"/>
      <c r="K1001" s="4"/>
      <c r="L1001" s="4"/>
      <c r="M1001" s="4"/>
      <c r="N1001" s="2"/>
      <c r="O1001" s="2"/>
      <c r="P1001" s="1"/>
    </row>
    <row r="1002" spans="1:16">
      <c r="A1002" s="1"/>
      <c r="B1002" s="204"/>
      <c r="C1002" s="1"/>
      <c r="D1002" s="1"/>
      <c r="E1002" s="1"/>
      <c r="F1002" s="279"/>
      <c r="G1002" s="1"/>
      <c r="H1002" s="4"/>
      <c r="I1002" s="49"/>
      <c r="J1002" s="34"/>
      <c r="K1002" s="4"/>
      <c r="L1002" s="4"/>
      <c r="M1002" s="4"/>
      <c r="N1002" s="2"/>
      <c r="O1002" s="2"/>
      <c r="P1002" s="1"/>
    </row>
    <row r="1003" spans="1:16">
      <c r="A1003" s="1"/>
      <c r="B1003" s="204"/>
      <c r="C1003" s="1"/>
      <c r="D1003" s="1"/>
      <c r="E1003" s="1"/>
      <c r="F1003" s="279"/>
      <c r="G1003" s="1"/>
      <c r="H1003" s="4"/>
      <c r="I1003" s="49"/>
      <c r="J1003" s="34"/>
      <c r="K1003" s="4"/>
      <c r="L1003" s="4"/>
      <c r="M1003" s="4"/>
      <c r="N1003" s="2"/>
      <c r="O1003" s="2"/>
      <c r="P1003" s="1"/>
    </row>
    <row r="1004" spans="1:16">
      <c r="A1004" s="1"/>
      <c r="B1004" s="204"/>
      <c r="C1004" s="1"/>
      <c r="D1004" s="1"/>
      <c r="E1004" s="1"/>
      <c r="F1004" s="279"/>
      <c r="G1004" s="1"/>
      <c r="H1004" s="4"/>
      <c r="I1004" s="49"/>
      <c r="J1004" s="34"/>
      <c r="K1004" s="4"/>
      <c r="L1004" s="4"/>
      <c r="M1004" s="4"/>
      <c r="N1004" s="2"/>
      <c r="O1004" s="2"/>
      <c r="P1004" s="1"/>
    </row>
    <row r="1005" spans="1:16">
      <c r="A1005" s="1"/>
      <c r="B1005" s="204"/>
      <c r="C1005" s="1"/>
      <c r="D1005" s="1"/>
      <c r="E1005" s="1"/>
      <c r="F1005" s="279"/>
      <c r="G1005" s="1"/>
      <c r="H1005" s="4"/>
      <c r="I1005" s="49"/>
      <c r="J1005" s="34"/>
      <c r="K1005" s="4"/>
      <c r="L1005" s="4"/>
      <c r="M1005" s="4"/>
      <c r="N1005" s="2"/>
      <c r="O1005" s="2"/>
      <c r="P1005" s="1"/>
    </row>
    <row r="1006" spans="1:16">
      <c r="A1006" s="1"/>
      <c r="B1006" s="204"/>
      <c r="C1006" s="1"/>
      <c r="D1006" s="1"/>
      <c r="E1006" s="1"/>
      <c r="F1006" s="279"/>
      <c r="G1006" s="1"/>
      <c r="H1006" s="4"/>
      <c r="I1006" s="49"/>
      <c r="J1006" s="34"/>
      <c r="K1006" s="4"/>
      <c r="L1006" s="4"/>
      <c r="M1006" s="4"/>
      <c r="N1006" s="2"/>
      <c r="O1006" s="2"/>
      <c r="P1006" s="1"/>
    </row>
    <row r="1007" spans="1:16">
      <c r="A1007" s="1"/>
      <c r="B1007" s="204"/>
      <c r="C1007" s="1"/>
      <c r="D1007" s="1"/>
      <c r="E1007" s="1"/>
      <c r="F1007" s="279"/>
      <c r="G1007" s="1"/>
      <c r="H1007" s="4"/>
      <c r="I1007" s="49"/>
      <c r="J1007" s="34"/>
      <c r="K1007" s="4"/>
      <c r="L1007" s="4"/>
      <c r="M1007" s="4"/>
      <c r="N1007" s="2"/>
      <c r="O1007" s="2"/>
      <c r="P1007" s="1"/>
    </row>
    <row r="1008" spans="1:16">
      <c r="A1008" s="1"/>
      <c r="B1008" s="204"/>
      <c r="C1008" s="1"/>
      <c r="D1008" s="1"/>
      <c r="E1008" s="1"/>
      <c r="F1008" s="279"/>
      <c r="G1008" s="1"/>
      <c r="H1008" s="4"/>
      <c r="I1008" s="49"/>
      <c r="J1008" s="34"/>
      <c r="K1008" s="4"/>
      <c r="L1008" s="4"/>
      <c r="M1008" s="4"/>
      <c r="N1008" s="2"/>
      <c r="O1008" s="2"/>
      <c r="P1008" s="1"/>
    </row>
    <row r="1009" spans="1:16">
      <c r="A1009" s="1"/>
      <c r="B1009" s="204"/>
      <c r="C1009" s="1"/>
      <c r="D1009" s="1"/>
      <c r="E1009" s="1"/>
      <c r="F1009" s="279"/>
      <c r="G1009" s="1"/>
      <c r="H1009" s="4"/>
      <c r="I1009" s="49"/>
      <c r="J1009" s="34"/>
      <c r="K1009" s="4"/>
      <c r="L1009" s="4"/>
      <c r="M1009" s="4"/>
      <c r="N1009" s="2"/>
      <c r="O1009" s="2"/>
      <c r="P1009" s="1"/>
    </row>
    <row r="1010" spans="1:16">
      <c r="A1010" s="1"/>
      <c r="B1010" s="204"/>
      <c r="C1010" s="1"/>
      <c r="D1010" s="1"/>
      <c r="E1010" s="1"/>
      <c r="F1010" s="279"/>
      <c r="G1010" s="1"/>
      <c r="H1010" s="4"/>
      <c r="I1010" s="49"/>
      <c r="J1010" s="34"/>
      <c r="K1010" s="4"/>
      <c r="L1010" s="4"/>
      <c r="M1010" s="4"/>
      <c r="N1010" s="2"/>
      <c r="O1010" s="2"/>
      <c r="P1010" s="1"/>
    </row>
    <row r="1011" spans="1:16">
      <c r="A1011" s="1"/>
      <c r="B1011" s="204"/>
      <c r="C1011" s="1"/>
      <c r="D1011" s="1"/>
      <c r="E1011" s="1"/>
      <c r="F1011" s="279"/>
      <c r="G1011" s="1"/>
      <c r="H1011" s="4"/>
      <c r="I1011" s="49"/>
      <c r="J1011" s="34"/>
      <c r="K1011" s="4"/>
      <c r="L1011" s="4"/>
      <c r="M1011" s="4"/>
      <c r="N1011" s="2"/>
      <c r="O1011" s="2"/>
      <c r="P1011" s="1"/>
    </row>
    <row r="1012" spans="1:16">
      <c r="A1012" s="1"/>
      <c r="B1012" s="204"/>
      <c r="C1012" s="1"/>
      <c r="D1012" s="1"/>
      <c r="E1012" s="1"/>
      <c r="F1012" s="279"/>
      <c r="G1012" s="1"/>
      <c r="H1012" s="4"/>
      <c r="I1012" s="49"/>
      <c r="J1012" s="34"/>
      <c r="K1012" s="4"/>
      <c r="L1012" s="4"/>
      <c r="M1012" s="4"/>
      <c r="N1012" s="2"/>
      <c r="O1012" s="2"/>
      <c r="P1012" s="1"/>
    </row>
    <row r="1013" spans="1:16">
      <c r="A1013" s="1"/>
      <c r="B1013" s="204"/>
      <c r="C1013" s="1"/>
      <c r="D1013" s="1"/>
      <c r="E1013" s="1"/>
      <c r="F1013" s="279"/>
      <c r="G1013" s="1"/>
      <c r="H1013" s="4"/>
      <c r="I1013" s="49"/>
      <c r="J1013" s="34"/>
      <c r="K1013" s="4"/>
      <c r="L1013" s="4"/>
      <c r="M1013" s="4"/>
      <c r="N1013" s="2"/>
      <c r="O1013" s="2"/>
      <c r="P1013" s="1"/>
    </row>
    <row r="1014" spans="1:16">
      <c r="A1014" s="1"/>
      <c r="B1014" s="204"/>
      <c r="C1014" s="1"/>
      <c r="D1014" s="1"/>
      <c r="E1014" s="1"/>
      <c r="F1014" s="279"/>
      <c r="G1014" s="1"/>
      <c r="H1014" s="4"/>
      <c r="I1014" s="49"/>
      <c r="J1014" s="34"/>
      <c r="K1014" s="4"/>
      <c r="L1014" s="4"/>
      <c r="M1014" s="4"/>
      <c r="N1014" s="2"/>
      <c r="O1014" s="2"/>
      <c r="P1014" s="1"/>
    </row>
    <row r="1015" spans="1:16">
      <c r="A1015" s="1"/>
      <c r="B1015" s="204"/>
      <c r="C1015" s="1"/>
      <c r="D1015" s="1"/>
      <c r="E1015" s="1"/>
      <c r="F1015" s="279"/>
      <c r="G1015" s="1"/>
      <c r="H1015" s="4"/>
      <c r="I1015" s="49"/>
      <c r="J1015" s="34"/>
      <c r="K1015" s="4"/>
      <c r="L1015" s="4"/>
      <c r="M1015" s="4"/>
      <c r="N1015" s="2"/>
      <c r="O1015" s="2"/>
      <c r="P1015" s="1"/>
    </row>
    <row r="1016" spans="1:16">
      <c r="A1016" s="1"/>
      <c r="B1016" s="204"/>
      <c r="C1016" s="1"/>
      <c r="D1016" s="1"/>
      <c r="E1016" s="1"/>
      <c r="F1016" s="279"/>
      <c r="G1016" s="1"/>
      <c r="H1016" s="4"/>
      <c r="I1016" s="49"/>
      <c r="J1016" s="34"/>
      <c r="K1016" s="4"/>
      <c r="L1016" s="4"/>
      <c r="M1016" s="4"/>
      <c r="N1016" s="2"/>
      <c r="O1016" s="2"/>
      <c r="P1016" s="1"/>
    </row>
    <row r="1017" spans="1:16">
      <c r="A1017" s="1"/>
      <c r="B1017" s="204"/>
      <c r="C1017" s="1"/>
      <c r="D1017" s="1"/>
      <c r="E1017" s="1"/>
      <c r="F1017" s="279"/>
      <c r="G1017" s="1"/>
      <c r="H1017" s="4"/>
      <c r="I1017" s="49"/>
      <c r="J1017" s="34"/>
      <c r="K1017" s="4"/>
      <c r="L1017" s="4"/>
      <c r="M1017" s="4"/>
      <c r="N1017" s="2"/>
      <c r="O1017" s="2"/>
      <c r="P1017" s="1"/>
    </row>
    <row r="1018" spans="1:16">
      <c r="A1018" s="1"/>
      <c r="B1018" s="204"/>
      <c r="C1018" s="1"/>
      <c r="D1018" s="1"/>
      <c r="E1018" s="1"/>
      <c r="F1018" s="279"/>
      <c r="G1018" s="1"/>
      <c r="H1018" s="4"/>
      <c r="I1018" s="49"/>
      <c r="J1018" s="34"/>
      <c r="K1018" s="4"/>
      <c r="L1018" s="4"/>
      <c r="M1018" s="4"/>
      <c r="N1018" s="2"/>
      <c r="O1018" s="2"/>
      <c r="P1018" s="1"/>
    </row>
    <row r="1019" spans="1:16">
      <c r="A1019" s="1"/>
      <c r="B1019" s="204"/>
      <c r="C1019" s="1"/>
      <c r="D1019" s="1"/>
      <c r="E1019" s="1"/>
      <c r="F1019" s="279"/>
      <c r="G1019" s="1"/>
      <c r="H1019" s="4"/>
      <c r="I1019" s="49"/>
      <c r="J1019" s="34"/>
      <c r="K1019" s="4"/>
      <c r="L1019" s="4"/>
      <c r="M1019" s="4"/>
      <c r="N1019" s="2"/>
      <c r="O1019" s="2"/>
      <c r="P1019" s="1"/>
    </row>
    <row r="1020" spans="1:16">
      <c r="A1020" s="1"/>
      <c r="B1020" s="204"/>
      <c r="C1020" s="1"/>
      <c r="D1020" s="1"/>
      <c r="E1020" s="1"/>
      <c r="F1020" s="279"/>
      <c r="G1020" s="1"/>
      <c r="H1020" s="4"/>
      <c r="I1020" s="49"/>
      <c r="J1020" s="34"/>
      <c r="K1020" s="4"/>
      <c r="L1020" s="4"/>
      <c r="M1020" s="4"/>
      <c r="N1020" s="2"/>
      <c r="O1020" s="2"/>
      <c r="P1020" s="1"/>
    </row>
    <row r="1021" spans="1:16">
      <c r="A1021" s="1"/>
      <c r="B1021" s="204"/>
      <c r="C1021" s="1"/>
      <c r="D1021" s="1"/>
      <c r="E1021" s="1"/>
      <c r="F1021" s="279"/>
      <c r="G1021" s="1"/>
      <c r="H1021" s="4"/>
      <c r="I1021" s="49"/>
      <c r="J1021" s="34"/>
      <c r="K1021" s="4"/>
      <c r="L1021" s="4"/>
      <c r="M1021" s="4"/>
      <c r="N1021" s="2"/>
      <c r="O1021" s="2"/>
      <c r="P1021" s="1"/>
    </row>
    <row r="1022" spans="1:16">
      <c r="A1022" s="1"/>
      <c r="B1022" s="204"/>
      <c r="C1022" s="1"/>
      <c r="D1022" s="1"/>
      <c r="E1022" s="1"/>
      <c r="F1022" s="279"/>
      <c r="G1022" s="1"/>
      <c r="H1022" s="4"/>
      <c r="I1022" s="49"/>
      <c r="J1022" s="34"/>
      <c r="K1022" s="4"/>
      <c r="L1022" s="4"/>
      <c r="M1022" s="4"/>
      <c r="N1022" s="2"/>
      <c r="O1022" s="2"/>
      <c r="P1022" s="1"/>
    </row>
    <row r="1023" spans="1:16">
      <c r="A1023" s="1"/>
      <c r="B1023" s="204"/>
      <c r="C1023" s="1"/>
      <c r="D1023" s="1"/>
      <c r="E1023" s="1"/>
      <c r="F1023" s="279"/>
      <c r="G1023" s="1"/>
      <c r="H1023" s="4"/>
      <c r="I1023" s="49"/>
      <c r="J1023" s="34"/>
      <c r="K1023" s="4"/>
      <c r="L1023" s="4"/>
      <c r="M1023" s="4"/>
      <c r="N1023" s="2"/>
      <c r="O1023" s="2"/>
      <c r="P1023" s="1"/>
    </row>
    <row r="1024" spans="1:16">
      <c r="A1024" s="1"/>
      <c r="B1024" s="204"/>
      <c r="C1024" s="1"/>
      <c r="D1024" s="1"/>
      <c r="E1024" s="1"/>
      <c r="F1024" s="279"/>
      <c r="G1024" s="1"/>
      <c r="H1024" s="4"/>
      <c r="I1024" s="49"/>
      <c r="J1024" s="34"/>
      <c r="K1024" s="4"/>
      <c r="L1024" s="4"/>
      <c r="M1024" s="4"/>
      <c r="N1024" s="2"/>
      <c r="O1024" s="2"/>
      <c r="P1024" s="1"/>
    </row>
    <row r="1025" spans="1:16">
      <c r="A1025" s="1"/>
      <c r="B1025" s="204"/>
      <c r="C1025" s="1"/>
      <c r="D1025" s="1"/>
      <c r="E1025" s="1"/>
      <c r="F1025" s="279"/>
      <c r="G1025" s="1"/>
      <c r="H1025" s="4"/>
      <c r="I1025" s="49"/>
      <c r="J1025" s="34"/>
      <c r="K1025" s="4"/>
      <c r="L1025" s="4"/>
      <c r="M1025" s="4"/>
      <c r="N1025" s="2"/>
      <c r="O1025" s="2"/>
      <c r="P1025" s="1"/>
    </row>
    <row r="1026" spans="1:16">
      <c r="A1026" s="1"/>
      <c r="B1026" s="204"/>
      <c r="C1026" s="1"/>
      <c r="D1026" s="1"/>
      <c r="E1026" s="1"/>
      <c r="F1026" s="279"/>
      <c r="G1026" s="1"/>
      <c r="H1026" s="4"/>
      <c r="I1026" s="49"/>
      <c r="J1026" s="34"/>
      <c r="K1026" s="4"/>
      <c r="L1026" s="4"/>
      <c r="M1026" s="4"/>
      <c r="N1026" s="2"/>
      <c r="O1026" s="2"/>
      <c r="P1026" s="1"/>
    </row>
    <row r="1027" spans="1:16">
      <c r="A1027" s="1"/>
      <c r="B1027" s="204"/>
      <c r="C1027" s="1"/>
      <c r="D1027" s="1"/>
      <c r="E1027" s="1"/>
      <c r="F1027" s="279"/>
      <c r="G1027" s="1"/>
      <c r="H1027" s="4"/>
      <c r="I1027" s="49"/>
      <c r="J1027" s="34"/>
      <c r="K1027" s="4"/>
      <c r="L1027" s="4"/>
      <c r="M1027" s="4"/>
      <c r="N1027" s="2"/>
      <c r="O1027" s="2"/>
      <c r="P1027" s="1"/>
    </row>
    <row r="1028" spans="1:16">
      <c r="A1028" s="1"/>
      <c r="B1028" s="204"/>
      <c r="C1028" s="1"/>
      <c r="D1028" s="1"/>
      <c r="E1028" s="1"/>
      <c r="F1028" s="279"/>
      <c r="G1028" s="1"/>
      <c r="H1028" s="4"/>
      <c r="I1028" s="49"/>
      <c r="J1028" s="34"/>
      <c r="K1028" s="4"/>
      <c r="L1028" s="4"/>
      <c r="M1028" s="4"/>
      <c r="N1028" s="2"/>
      <c r="O1028" s="2"/>
      <c r="P1028" s="1"/>
    </row>
    <row r="1029" spans="1:16">
      <c r="A1029" s="1"/>
      <c r="B1029" s="204"/>
      <c r="C1029" s="1"/>
      <c r="D1029" s="1"/>
      <c r="E1029" s="1"/>
      <c r="F1029" s="279"/>
      <c r="G1029" s="1"/>
      <c r="H1029" s="4"/>
      <c r="I1029" s="49"/>
      <c r="J1029" s="34"/>
      <c r="K1029" s="4"/>
      <c r="L1029" s="4"/>
      <c r="M1029" s="4"/>
      <c r="N1029" s="2"/>
      <c r="O1029" s="2"/>
      <c r="P1029" s="1"/>
    </row>
    <row r="1030" spans="1:16">
      <c r="A1030" s="1"/>
      <c r="B1030" s="204"/>
      <c r="C1030" s="1"/>
      <c r="D1030" s="1"/>
      <c r="E1030" s="1"/>
      <c r="F1030" s="279"/>
      <c r="G1030" s="1"/>
      <c r="H1030" s="4"/>
      <c r="I1030" s="49"/>
      <c r="J1030" s="34"/>
      <c r="K1030" s="4"/>
      <c r="L1030" s="4"/>
      <c r="M1030" s="4"/>
      <c r="N1030" s="2"/>
      <c r="O1030" s="2"/>
      <c r="P1030" s="1"/>
    </row>
    <row r="1031" spans="1:16">
      <c r="A1031" s="1"/>
      <c r="B1031" s="204"/>
      <c r="C1031" s="1"/>
      <c r="D1031" s="1"/>
      <c r="E1031" s="1"/>
      <c r="F1031" s="279"/>
      <c r="G1031" s="1"/>
      <c r="H1031" s="4"/>
      <c r="I1031" s="49"/>
      <c r="J1031" s="34"/>
      <c r="K1031" s="4"/>
      <c r="L1031" s="4"/>
      <c r="M1031" s="4"/>
      <c r="N1031" s="2"/>
      <c r="O1031" s="2"/>
      <c r="P1031" s="1"/>
    </row>
    <row r="1032" spans="1:16">
      <c r="A1032" s="1"/>
      <c r="B1032" s="204"/>
      <c r="C1032" s="1"/>
      <c r="D1032" s="1"/>
      <c r="E1032" s="1"/>
      <c r="F1032" s="279"/>
      <c r="G1032" s="1"/>
      <c r="H1032" s="4"/>
      <c r="I1032" s="49"/>
      <c r="J1032" s="34"/>
      <c r="K1032" s="4"/>
      <c r="L1032" s="4"/>
      <c r="M1032" s="4"/>
      <c r="N1032" s="2"/>
      <c r="O1032" s="2"/>
      <c r="P1032" s="1"/>
    </row>
    <row r="1033" spans="1:16">
      <c r="A1033" s="1"/>
      <c r="B1033" s="204"/>
      <c r="C1033" s="1"/>
      <c r="D1033" s="1"/>
      <c r="E1033" s="1"/>
      <c r="F1033" s="279"/>
      <c r="G1033" s="1"/>
      <c r="H1033" s="4"/>
      <c r="I1033" s="49"/>
      <c r="J1033" s="34"/>
      <c r="K1033" s="4"/>
      <c r="L1033" s="4"/>
      <c r="M1033" s="4"/>
      <c r="N1033" s="2"/>
      <c r="O1033" s="2"/>
      <c r="P1033" s="1"/>
    </row>
    <row r="1034" spans="1:16">
      <c r="A1034" s="1"/>
      <c r="B1034" s="204"/>
      <c r="C1034" s="1"/>
      <c r="D1034" s="1"/>
      <c r="E1034" s="1"/>
      <c r="F1034" s="279"/>
      <c r="G1034" s="1"/>
      <c r="H1034" s="4"/>
      <c r="I1034" s="49"/>
      <c r="J1034" s="34"/>
      <c r="K1034" s="4"/>
      <c r="L1034" s="4"/>
      <c r="M1034" s="4"/>
      <c r="N1034" s="2"/>
      <c r="O1034" s="2"/>
      <c r="P1034" s="1"/>
    </row>
    <row r="1035" spans="1:16">
      <c r="A1035" s="1"/>
      <c r="B1035" s="204"/>
      <c r="C1035" s="1"/>
      <c r="D1035" s="1"/>
      <c r="E1035" s="1"/>
      <c r="F1035" s="279"/>
      <c r="G1035" s="1"/>
      <c r="H1035" s="4"/>
      <c r="I1035" s="49"/>
      <c r="J1035" s="34"/>
      <c r="K1035" s="4"/>
      <c r="L1035" s="4"/>
      <c r="M1035" s="4"/>
      <c r="N1035" s="2"/>
      <c r="O1035" s="2"/>
      <c r="P1035" s="1"/>
    </row>
    <row r="1036" spans="1:16">
      <c r="A1036" s="1"/>
      <c r="B1036" s="204"/>
      <c r="C1036" s="1"/>
      <c r="D1036" s="1"/>
      <c r="E1036" s="1"/>
      <c r="F1036" s="279"/>
      <c r="G1036" s="1"/>
      <c r="H1036" s="4"/>
      <c r="I1036" s="49"/>
      <c r="J1036" s="34"/>
      <c r="K1036" s="4"/>
      <c r="L1036" s="4"/>
      <c r="M1036" s="4"/>
      <c r="N1036" s="2"/>
      <c r="O1036" s="2"/>
      <c r="P1036" s="1"/>
    </row>
    <row r="1037" spans="1:16">
      <c r="A1037" s="1"/>
      <c r="B1037" s="204"/>
      <c r="C1037" s="1"/>
      <c r="D1037" s="1"/>
      <c r="E1037" s="1"/>
      <c r="F1037" s="279"/>
      <c r="G1037" s="1"/>
      <c r="H1037" s="4"/>
      <c r="I1037" s="49"/>
      <c r="J1037" s="34"/>
      <c r="K1037" s="4"/>
      <c r="L1037" s="4"/>
      <c r="M1037" s="4"/>
      <c r="N1037" s="2"/>
      <c r="O1037" s="2"/>
      <c r="P1037" s="1"/>
    </row>
    <row r="1038" spans="1:16">
      <c r="A1038" s="1"/>
      <c r="B1038" s="204"/>
      <c r="C1038" s="1"/>
      <c r="D1038" s="1"/>
      <c r="E1038" s="1"/>
      <c r="F1038" s="279"/>
      <c r="G1038" s="1"/>
      <c r="H1038" s="4"/>
      <c r="I1038" s="49"/>
      <c r="J1038" s="34"/>
      <c r="K1038" s="4"/>
      <c r="L1038" s="4"/>
      <c r="M1038" s="4"/>
      <c r="N1038" s="2"/>
      <c r="O1038" s="2"/>
      <c r="P1038" s="1"/>
    </row>
    <row r="1039" spans="1:16">
      <c r="A1039" s="1"/>
      <c r="B1039" s="204"/>
      <c r="C1039" s="1"/>
      <c r="D1039" s="1"/>
      <c r="E1039" s="1"/>
      <c r="F1039" s="279"/>
      <c r="G1039" s="1"/>
      <c r="H1039" s="4"/>
      <c r="I1039" s="49"/>
      <c r="J1039" s="34"/>
      <c r="K1039" s="4"/>
      <c r="L1039" s="4"/>
      <c r="M1039" s="4"/>
      <c r="N1039" s="2"/>
      <c r="O1039" s="2"/>
      <c r="P1039" s="1"/>
    </row>
    <row r="1040" spans="1:16">
      <c r="A1040" s="1"/>
      <c r="B1040" s="204"/>
      <c r="C1040" s="1"/>
      <c r="D1040" s="1"/>
      <c r="E1040" s="1"/>
      <c r="F1040" s="279"/>
      <c r="G1040" s="1"/>
      <c r="H1040" s="4"/>
      <c r="I1040" s="49"/>
      <c r="J1040" s="34"/>
      <c r="K1040" s="4"/>
      <c r="L1040" s="4"/>
      <c r="M1040" s="4"/>
      <c r="N1040" s="2"/>
      <c r="O1040" s="2"/>
      <c r="P1040" s="1"/>
    </row>
    <row r="1041" spans="1:16">
      <c r="A1041" s="1"/>
      <c r="B1041" s="204"/>
      <c r="C1041" s="1"/>
      <c r="D1041" s="1"/>
      <c r="E1041" s="1"/>
      <c r="F1041" s="279"/>
      <c r="G1041" s="1"/>
      <c r="H1041" s="4"/>
      <c r="I1041" s="49"/>
      <c r="J1041" s="34"/>
      <c r="K1041" s="4"/>
      <c r="L1041" s="4"/>
      <c r="M1041" s="4"/>
      <c r="N1041" s="2"/>
      <c r="O1041" s="2"/>
      <c r="P1041" s="1"/>
    </row>
    <row r="1042" spans="1:16">
      <c r="A1042" s="1"/>
      <c r="B1042" s="204"/>
      <c r="C1042" s="1"/>
      <c r="D1042" s="1"/>
      <c r="E1042" s="1"/>
      <c r="F1042" s="279"/>
      <c r="G1042" s="1"/>
      <c r="H1042" s="4"/>
      <c r="I1042" s="49"/>
      <c r="J1042" s="34"/>
      <c r="K1042" s="4"/>
      <c r="L1042" s="4"/>
      <c r="M1042" s="4"/>
      <c r="N1042" s="2"/>
      <c r="O1042" s="2"/>
      <c r="P1042" s="1"/>
    </row>
    <row r="1043" spans="1:16">
      <c r="A1043" s="1"/>
      <c r="B1043" s="204"/>
      <c r="C1043" s="1"/>
      <c r="D1043" s="1"/>
      <c r="E1043" s="1"/>
      <c r="F1043" s="279"/>
      <c r="G1043" s="1"/>
      <c r="H1043" s="4"/>
      <c r="I1043" s="49"/>
      <c r="J1043" s="34"/>
      <c r="K1043" s="4"/>
      <c r="L1043" s="4"/>
      <c r="M1043" s="4"/>
      <c r="N1043" s="2"/>
      <c r="O1043" s="2"/>
      <c r="P1043" s="1"/>
    </row>
    <row r="1044" spans="1:16">
      <c r="A1044" s="1"/>
      <c r="B1044" s="204"/>
      <c r="C1044" s="1"/>
      <c r="D1044" s="1"/>
      <c r="E1044" s="1"/>
      <c r="F1044" s="279"/>
      <c r="G1044" s="1"/>
      <c r="H1044" s="4"/>
      <c r="I1044" s="49"/>
      <c r="J1044" s="34"/>
      <c r="K1044" s="4"/>
      <c r="L1044" s="4"/>
      <c r="M1044" s="4"/>
      <c r="N1044" s="2"/>
      <c r="O1044" s="2"/>
      <c r="P1044" s="1"/>
    </row>
    <row r="1045" spans="1:16">
      <c r="A1045" s="1"/>
      <c r="B1045" s="204"/>
      <c r="C1045" s="1"/>
      <c r="D1045" s="1"/>
      <c r="E1045" s="1"/>
      <c r="F1045" s="279"/>
      <c r="G1045" s="1"/>
      <c r="H1045" s="4"/>
      <c r="I1045" s="49"/>
      <c r="J1045" s="34"/>
      <c r="K1045" s="4"/>
      <c r="L1045" s="4"/>
      <c r="M1045" s="4"/>
      <c r="N1045" s="2"/>
      <c r="O1045" s="2"/>
      <c r="P1045" s="1"/>
    </row>
    <row r="1046" spans="1:16">
      <c r="A1046" s="1"/>
      <c r="B1046" s="204"/>
      <c r="C1046" s="1"/>
      <c r="D1046" s="1"/>
      <c r="E1046" s="1"/>
      <c r="F1046" s="279"/>
      <c r="G1046" s="1"/>
      <c r="H1046" s="4"/>
      <c r="I1046" s="49"/>
      <c r="J1046" s="34"/>
      <c r="K1046" s="4"/>
      <c r="L1046" s="4"/>
      <c r="M1046" s="4"/>
      <c r="N1046" s="2"/>
      <c r="O1046" s="2"/>
      <c r="P1046" s="1"/>
    </row>
    <row r="1047" spans="1:16">
      <c r="A1047" s="1"/>
      <c r="B1047" s="204"/>
      <c r="C1047" s="1"/>
      <c r="D1047" s="1"/>
      <c r="E1047" s="1"/>
      <c r="F1047" s="279"/>
      <c r="G1047" s="1"/>
      <c r="H1047" s="4"/>
      <c r="I1047" s="49"/>
      <c r="J1047" s="34"/>
      <c r="K1047" s="4"/>
      <c r="L1047" s="4"/>
      <c r="M1047" s="4"/>
      <c r="N1047" s="2"/>
      <c r="O1047" s="2"/>
      <c r="P1047" s="1"/>
    </row>
    <row r="1048" spans="1:16">
      <c r="A1048" s="1"/>
      <c r="B1048" s="204"/>
      <c r="C1048" s="1"/>
      <c r="D1048" s="1"/>
      <c r="E1048" s="1"/>
      <c r="F1048" s="279"/>
      <c r="G1048" s="1"/>
      <c r="H1048" s="4"/>
      <c r="I1048" s="49"/>
      <c r="J1048" s="34"/>
      <c r="K1048" s="4"/>
      <c r="L1048" s="4"/>
      <c r="M1048" s="4"/>
      <c r="N1048" s="2"/>
      <c r="O1048" s="2"/>
      <c r="P1048" s="1"/>
    </row>
    <row r="1049" spans="1:16">
      <c r="A1049" s="1"/>
      <c r="B1049" s="204"/>
      <c r="C1049" s="1"/>
      <c r="D1049" s="1"/>
      <c r="E1049" s="1"/>
      <c r="F1049" s="279"/>
      <c r="G1049" s="1"/>
      <c r="H1049" s="4"/>
      <c r="I1049" s="49"/>
      <c r="J1049" s="34"/>
      <c r="K1049" s="4"/>
      <c r="L1049" s="4"/>
      <c r="M1049" s="4"/>
      <c r="N1049" s="2"/>
      <c r="O1049" s="2"/>
      <c r="P1049" s="1"/>
    </row>
    <row r="1050" spans="1:16">
      <c r="A1050" s="1"/>
      <c r="B1050" s="204"/>
      <c r="C1050" s="1"/>
      <c r="D1050" s="1"/>
      <c r="E1050" s="1"/>
      <c r="F1050" s="279"/>
      <c r="G1050" s="1"/>
      <c r="H1050" s="4"/>
      <c r="I1050" s="49"/>
      <c r="J1050" s="34"/>
      <c r="K1050" s="4"/>
      <c r="L1050" s="4"/>
      <c r="M1050" s="4"/>
      <c r="N1050" s="2"/>
      <c r="O1050" s="2"/>
      <c r="P1050" s="1"/>
    </row>
    <row r="1051" spans="1:16">
      <c r="A1051" s="1"/>
      <c r="B1051" s="204"/>
      <c r="C1051" s="1"/>
      <c r="D1051" s="1"/>
      <c r="E1051" s="1"/>
      <c r="F1051" s="279"/>
      <c r="G1051" s="1"/>
      <c r="H1051" s="4"/>
      <c r="I1051" s="49"/>
      <c r="J1051" s="34"/>
      <c r="K1051" s="4"/>
      <c r="L1051" s="4"/>
      <c r="M1051" s="4"/>
      <c r="N1051" s="2"/>
      <c r="O1051" s="2"/>
      <c r="P1051" s="1"/>
    </row>
    <row r="1052" spans="1:16">
      <c r="A1052" s="1"/>
      <c r="B1052" s="204"/>
      <c r="C1052" s="1"/>
      <c r="D1052" s="1"/>
      <c r="E1052" s="1"/>
      <c r="F1052" s="279"/>
      <c r="G1052" s="1"/>
      <c r="H1052" s="4"/>
      <c r="I1052" s="49"/>
      <c r="J1052" s="34"/>
      <c r="K1052" s="4"/>
      <c r="L1052" s="4"/>
      <c r="M1052" s="4"/>
      <c r="N1052" s="2"/>
      <c r="O1052" s="2"/>
      <c r="P1052" s="1"/>
    </row>
    <row r="1053" spans="1:16">
      <c r="A1053" s="1"/>
      <c r="B1053" s="204"/>
      <c r="C1053" s="1"/>
      <c r="D1053" s="1"/>
      <c r="E1053" s="1"/>
      <c r="F1053" s="279"/>
      <c r="G1053" s="1"/>
      <c r="H1053" s="4"/>
      <c r="I1053" s="49"/>
      <c r="J1053" s="34"/>
      <c r="K1053" s="4"/>
      <c r="L1053" s="4"/>
      <c r="M1053" s="4"/>
      <c r="N1053" s="2"/>
      <c r="O1053" s="2"/>
      <c r="P1053" s="1"/>
    </row>
    <row r="1054" spans="1:16">
      <c r="A1054" s="1"/>
      <c r="B1054" s="204"/>
      <c r="C1054" s="1"/>
      <c r="D1054" s="1"/>
      <c r="E1054" s="1"/>
      <c r="F1054" s="279"/>
      <c r="G1054" s="1"/>
      <c r="H1054" s="4"/>
      <c r="I1054" s="49"/>
      <c r="J1054" s="34"/>
      <c r="K1054" s="4"/>
      <c r="L1054" s="4"/>
      <c r="M1054" s="4"/>
      <c r="N1054" s="2"/>
      <c r="O1054" s="2"/>
      <c r="P1054" s="1"/>
    </row>
    <row r="1055" spans="1:16">
      <c r="A1055" s="1"/>
      <c r="B1055" s="204"/>
      <c r="C1055" s="1"/>
      <c r="D1055" s="1"/>
      <c r="E1055" s="1"/>
      <c r="F1055" s="279"/>
      <c r="G1055" s="1"/>
      <c r="H1055" s="4"/>
      <c r="I1055" s="49"/>
      <c r="J1055" s="34"/>
      <c r="K1055" s="4"/>
      <c r="L1055" s="4"/>
      <c r="M1055" s="4"/>
      <c r="N1055" s="2"/>
      <c r="O1055" s="2"/>
      <c r="P1055" s="1"/>
    </row>
    <row r="1056" spans="1:16">
      <c r="A1056" s="1"/>
      <c r="B1056" s="204"/>
      <c r="C1056" s="1"/>
      <c r="D1056" s="1"/>
      <c r="E1056" s="1"/>
      <c r="F1056" s="279"/>
      <c r="G1056" s="1"/>
      <c r="H1056" s="4"/>
      <c r="I1056" s="49"/>
      <c r="J1056" s="34"/>
      <c r="L1056" s="4"/>
      <c r="M1056" s="4"/>
      <c r="N1056" s="2"/>
      <c r="O1056" s="2"/>
      <c r="P1056" s="1"/>
    </row>
    <row r="1057" spans="1:16">
      <c r="A1057" s="1"/>
      <c r="B1057" s="204"/>
      <c r="C1057" s="1"/>
      <c r="D1057" s="1"/>
      <c r="E1057" s="1"/>
      <c r="F1057" s="279"/>
      <c r="G1057" s="1"/>
      <c r="J1057" s="34"/>
      <c r="L1057" s="4"/>
      <c r="M1057" s="4"/>
      <c r="N1057" s="2"/>
      <c r="O1057" s="2"/>
      <c r="P1057" s="1"/>
    </row>
    <row r="1058" spans="1:16">
      <c r="A1058" s="1"/>
      <c r="B1058" s="204"/>
      <c r="C1058" s="1"/>
      <c r="D1058" s="1"/>
      <c r="E1058" s="1"/>
      <c r="F1058" s="279"/>
      <c r="G1058" s="1"/>
      <c r="J1058" s="34"/>
      <c r="N1058" s="2"/>
    </row>
    <row r="1059" spans="1:16">
      <c r="A1059" s="1"/>
      <c r="B1059" s="204"/>
      <c r="C1059" s="1"/>
      <c r="D1059" s="1"/>
      <c r="E1059" s="1"/>
      <c r="F1059" s="279"/>
      <c r="G1059" s="1"/>
      <c r="J1059" s="34"/>
      <c r="N1059" s="2"/>
    </row>
    <row r="1060" spans="1:16">
      <c r="A1060" s="1"/>
      <c r="B1060" s="204"/>
      <c r="C1060" s="1"/>
      <c r="D1060" s="1"/>
      <c r="E1060" s="1"/>
      <c r="F1060" s="279"/>
      <c r="G1060" s="1"/>
      <c r="J1060" s="34"/>
    </row>
    <row r="1061" spans="1:16">
      <c r="A1061" s="1"/>
      <c r="B1061" s="204"/>
      <c r="C1061" s="1"/>
      <c r="D1061" s="1"/>
      <c r="E1061" s="1"/>
      <c r="F1061" s="279"/>
      <c r="G1061" s="1"/>
      <c r="J1061" s="34"/>
    </row>
    <row r="1062" spans="1:16">
      <c r="A1062" s="1"/>
      <c r="B1062" s="204"/>
      <c r="C1062" s="1"/>
      <c r="D1062" s="1"/>
      <c r="E1062" s="1"/>
      <c r="F1062" s="279"/>
      <c r="G1062" s="1"/>
      <c r="J1062" s="34"/>
    </row>
    <row r="1063" spans="1:16">
      <c r="A1063" s="1"/>
      <c r="B1063" s="204"/>
      <c r="C1063" s="1"/>
      <c r="D1063" s="1"/>
      <c r="E1063" s="1"/>
      <c r="F1063" s="279"/>
      <c r="G1063" s="1"/>
      <c r="J1063" s="34"/>
    </row>
    <row r="1064" spans="1:16">
      <c r="A1064" s="1"/>
      <c r="B1064" s="204"/>
      <c r="C1064" s="1"/>
      <c r="D1064" s="1"/>
      <c r="E1064" s="1"/>
      <c r="F1064" s="279"/>
      <c r="G1064" s="1"/>
      <c r="J1064" s="34"/>
    </row>
    <row r="1065" spans="1:16">
      <c r="A1065" s="1"/>
      <c r="B1065" s="204"/>
      <c r="C1065" s="1"/>
      <c r="D1065" s="1"/>
      <c r="E1065" s="1"/>
      <c r="F1065" s="279"/>
      <c r="G1065" s="1"/>
      <c r="J1065" s="34"/>
    </row>
    <row r="1066" spans="1:16">
      <c r="A1066" s="1"/>
      <c r="B1066" s="204"/>
      <c r="C1066" s="1"/>
      <c r="D1066" s="1"/>
      <c r="E1066" s="1"/>
      <c r="F1066" s="279"/>
      <c r="G1066" s="1"/>
      <c r="J1066" s="34"/>
    </row>
    <row r="1067" spans="1:16">
      <c r="A1067" s="1"/>
      <c r="B1067" s="204"/>
      <c r="C1067" s="1"/>
      <c r="D1067" s="1"/>
      <c r="E1067" s="1"/>
      <c r="F1067" s="279"/>
      <c r="G1067" s="1"/>
      <c r="J1067" s="34"/>
    </row>
    <row r="1068" spans="1:16">
      <c r="A1068" s="1"/>
      <c r="B1068" s="204"/>
      <c r="C1068" s="1"/>
      <c r="D1068" s="1"/>
      <c r="E1068" s="1"/>
      <c r="F1068" s="279"/>
      <c r="G1068" s="1"/>
      <c r="J1068" s="34"/>
    </row>
    <row r="1069" spans="1:16">
      <c r="A1069" s="1"/>
      <c r="B1069" s="204"/>
      <c r="C1069" s="1"/>
      <c r="D1069" s="1"/>
      <c r="E1069" s="1"/>
      <c r="F1069" s="279"/>
      <c r="G1069" s="1"/>
      <c r="J1069" s="34"/>
    </row>
    <row r="1070" spans="1:16">
      <c r="A1070" s="1"/>
      <c r="B1070" s="204"/>
      <c r="C1070" s="1"/>
      <c r="D1070" s="1"/>
      <c r="E1070" s="1"/>
      <c r="F1070" s="279"/>
      <c r="G1070" s="1"/>
      <c r="J1070" s="34"/>
    </row>
    <row r="1071" spans="1:16">
      <c r="A1071" s="1"/>
      <c r="B1071" s="204"/>
      <c r="C1071" s="1"/>
      <c r="D1071" s="1"/>
      <c r="E1071" s="1"/>
      <c r="F1071" s="279"/>
      <c r="G1071" s="1"/>
      <c r="J1071" s="34"/>
    </row>
    <row r="1072" spans="1:16">
      <c r="A1072" s="1"/>
      <c r="B1072" s="204"/>
      <c r="C1072" s="1"/>
      <c r="D1072" s="1"/>
      <c r="E1072" s="1"/>
      <c r="F1072" s="279"/>
      <c r="G1072" s="1"/>
      <c r="J1072" s="34"/>
    </row>
    <row r="1073" spans="1:10">
      <c r="A1073" s="1"/>
      <c r="B1073" s="204"/>
      <c r="C1073" s="1"/>
      <c r="D1073" s="1"/>
      <c r="E1073" s="1"/>
      <c r="F1073" s="279"/>
      <c r="G1073" s="1"/>
      <c r="J1073" s="34"/>
    </row>
    <row r="1074" spans="1:10">
      <c r="A1074" s="1"/>
      <c r="B1074" s="204"/>
      <c r="C1074" s="1"/>
      <c r="D1074" s="1"/>
      <c r="E1074" s="1"/>
      <c r="F1074" s="279"/>
      <c r="G1074" s="1"/>
      <c r="J1074" s="34"/>
    </row>
    <row r="1075" spans="1:10">
      <c r="A1075" s="1"/>
      <c r="B1075" s="204"/>
      <c r="C1075" s="1"/>
      <c r="D1075" s="1"/>
      <c r="E1075" s="1"/>
      <c r="F1075" s="279"/>
      <c r="G1075" s="1"/>
      <c r="J1075" s="34"/>
    </row>
    <row r="1076" spans="1:10">
      <c r="A1076" s="1"/>
      <c r="B1076" s="204"/>
      <c r="C1076" s="1"/>
      <c r="D1076" s="1"/>
      <c r="E1076" s="1"/>
      <c r="F1076" s="279"/>
      <c r="G1076" s="1"/>
      <c r="J1076" s="34"/>
    </row>
    <row r="1077" spans="1:10">
      <c r="A1077" s="1"/>
      <c r="B1077" s="204"/>
      <c r="C1077" s="1"/>
      <c r="D1077" s="1"/>
      <c r="E1077" s="1"/>
      <c r="F1077" s="279"/>
      <c r="G1077" s="1"/>
      <c r="J1077" s="34"/>
    </row>
    <row r="1078" spans="1:10">
      <c r="A1078" s="1"/>
      <c r="B1078" s="204"/>
      <c r="C1078" s="1"/>
      <c r="D1078" s="1"/>
      <c r="E1078" s="1"/>
      <c r="F1078" s="279"/>
      <c r="G1078" s="1"/>
      <c r="J1078" s="34"/>
    </row>
    <row r="1079" spans="1:10">
      <c r="A1079" s="1"/>
      <c r="B1079" s="204"/>
      <c r="C1079" s="1"/>
      <c r="D1079" s="1"/>
      <c r="E1079" s="1"/>
      <c r="F1079" s="279"/>
      <c r="G1079" s="1"/>
      <c r="J1079" s="34"/>
    </row>
    <row r="1080" spans="1:10">
      <c r="A1080" s="1"/>
      <c r="B1080" s="204"/>
      <c r="C1080" s="1"/>
      <c r="D1080" s="1"/>
      <c r="E1080" s="1"/>
      <c r="F1080" s="279"/>
      <c r="G1080" s="1"/>
      <c r="J1080" s="34"/>
    </row>
    <row r="1081" spans="1:10">
      <c r="A1081" s="1"/>
      <c r="B1081" s="204"/>
      <c r="C1081" s="1"/>
      <c r="D1081" s="1"/>
      <c r="E1081" s="1"/>
      <c r="F1081" s="279"/>
      <c r="G1081" s="1"/>
      <c r="J1081" s="34"/>
    </row>
    <row r="1082" spans="1:10">
      <c r="A1082" s="1"/>
      <c r="B1082" s="204"/>
      <c r="C1082" s="1"/>
      <c r="D1082" s="1"/>
      <c r="E1082" s="1"/>
      <c r="F1082" s="279"/>
      <c r="G1082" s="1"/>
      <c r="J1082" s="34"/>
    </row>
    <row r="1083" spans="1:10">
      <c r="A1083" s="1"/>
      <c r="B1083" s="204"/>
      <c r="C1083" s="1"/>
      <c r="D1083" s="1"/>
      <c r="E1083" s="1"/>
      <c r="F1083" s="279"/>
      <c r="G1083" s="1"/>
      <c r="J1083" s="34"/>
    </row>
    <row r="1084" spans="1:10">
      <c r="A1084" s="1"/>
      <c r="B1084" s="204"/>
      <c r="C1084" s="1"/>
      <c r="D1084" s="1"/>
      <c r="E1084" s="1"/>
      <c r="F1084" s="279"/>
      <c r="G1084" s="1"/>
      <c r="J1084" s="34"/>
    </row>
    <row r="1085" spans="1:10">
      <c r="A1085" s="1"/>
      <c r="B1085" s="204"/>
      <c r="C1085" s="1"/>
      <c r="D1085" s="1"/>
      <c r="E1085" s="1"/>
      <c r="F1085" s="279"/>
      <c r="G1085" s="1"/>
      <c r="J1085" s="34"/>
    </row>
    <row r="1086" spans="1:10">
      <c r="A1086" s="1"/>
      <c r="B1086" s="204"/>
      <c r="C1086" s="1"/>
      <c r="D1086" s="1"/>
      <c r="E1086" s="1"/>
      <c r="F1086" s="279"/>
      <c r="G1086" s="1"/>
      <c r="J1086" s="34"/>
    </row>
    <row r="1087" spans="1:10">
      <c r="A1087" s="1"/>
      <c r="B1087" s="204"/>
      <c r="C1087" s="1"/>
      <c r="D1087" s="1"/>
      <c r="E1087" s="1"/>
      <c r="F1087" s="279"/>
      <c r="G1087" s="1"/>
      <c r="J1087" s="34"/>
    </row>
    <row r="1088" spans="1:10">
      <c r="A1088" s="1"/>
      <c r="B1088" s="204"/>
      <c r="C1088" s="1"/>
      <c r="D1088" s="1"/>
      <c r="E1088" s="1"/>
      <c r="F1088" s="279"/>
      <c r="G1088" s="1"/>
      <c r="J1088" s="34"/>
    </row>
    <row r="1089" spans="1:10">
      <c r="A1089" s="1"/>
      <c r="B1089" s="204"/>
      <c r="C1089" s="1"/>
      <c r="D1089" s="1"/>
      <c r="E1089" s="1"/>
      <c r="F1089" s="279"/>
      <c r="G1089" s="1"/>
      <c r="J1089" s="34"/>
    </row>
    <row r="1090" spans="1:10">
      <c r="A1090" s="1"/>
      <c r="B1090" s="204"/>
      <c r="C1090" s="1"/>
      <c r="D1090" s="1"/>
      <c r="E1090" s="1"/>
      <c r="F1090" s="279"/>
      <c r="G1090" s="1"/>
      <c r="J1090" s="34"/>
    </row>
    <row r="1091" spans="1:10">
      <c r="A1091" s="1"/>
      <c r="B1091" s="204"/>
      <c r="C1091" s="1"/>
      <c r="D1091" s="1"/>
      <c r="E1091" s="1"/>
      <c r="F1091" s="279"/>
      <c r="G1091" s="1"/>
      <c r="J1091" s="34"/>
    </row>
    <row r="1092" spans="1:10">
      <c r="A1092" s="1"/>
      <c r="B1092" s="204"/>
      <c r="C1092" s="1"/>
      <c r="D1092" s="1"/>
      <c r="E1092" s="1"/>
      <c r="F1092" s="279"/>
      <c r="G1092" s="1"/>
      <c r="J1092" s="34"/>
    </row>
    <row r="1093" spans="1:10">
      <c r="A1093" s="1"/>
      <c r="B1093" s="204"/>
      <c r="C1093" s="1"/>
      <c r="D1093" s="1"/>
      <c r="E1093" s="1"/>
      <c r="F1093" s="279"/>
      <c r="G1093" s="1"/>
      <c r="J1093" s="34"/>
    </row>
    <row r="1094" spans="1:10">
      <c r="A1094" s="1"/>
      <c r="B1094" s="204"/>
      <c r="C1094" s="1"/>
      <c r="D1094" s="1"/>
      <c r="E1094" s="1"/>
      <c r="F1094" s="279"/>
      <c r="G1094" s="1"/>
      <c r="J1094" s="34"/>
    </row>
    <row r="1095" spans="1:10">
      <c r="A1095" s="1"/>
      <c r="B1095" s="204"/>
      <c r="C1095" s="1"/>
      <c r="D1095" s="1"/>
      <c r="E1095" s="1"/>
      <c r="F1095" s="279"/>
      <c r="G1095" s="1"/>
      <c r="J1095" s="34"/>
    </row>
    <row r="1096" spans="1:10">
      <c r="A1096" s="1"/>
      <c r="B1096" s="204"/>
      <c r="C1096" s="1"/>
      <c r="D1096" s="1"/>
      <c r="E1096" s="1"/>
      <c r="F1096" s="279"/>
      <c r="G1096" s="1"/>
      <c r="J1096" s="34"/>
    </row>
    <row r="1097" spans="1:10">
      <c r="A1097" s="1"/>
      <c r="B1097" s="204"/>
      <c r="C1097" s="1"/>
      <c r="D1097" s="1"/>
      <c r="E1097" s="1"/>
      <c r="F1097" s="279"/>
      <c r="G1097" s="1"/>
      <c r="J1097" s="34"/>
    </row>
    <row r="1098" spans="1:10">
      <c r="A1098" s="1"/>
      <c r="B1098" s="204"/>
      <c r="C1098" s="1"/>
      <c r="D1098" s="1"/>
      <c r="E1098" s="1"/>
      <c r="F1098" s="279"/>
      <c r="G1098" s="1"/>
      <c r="J1098" s="34"/>
    </row>
    <row r="1099" spans="1:10">
      <c r="A1099" s="1"/>
      <c r="B1099" s="204"/>
      <c r="C1099" s="1"/>
      <c r="D1099" s="1"/>
      <c r="E1099" s="1"/>
      <c r="F1099" s="279"/>
      <c r="G1099" s="1"/>
      <c r="J1099" s="34"/>
    </row>
    <row r="1100" spans="1:10">
      <c r="A1100" s="1"/>
      <c r="B1100" s="204"/>
      <c r="C1100" s="1"/>
      <c r="D1100" s="1"/>
      <c r="E1100" s="1"/>
      <c r="F1100" s="279"/>
      <c r="G1100" s="1"/>
      <c r="J1100" s="34"/>
    </row>
    <row r="1101" spans="1:10">
      <c r="A1101" s="1"/>
      <c r="B1101" s="204"/>
      <c r="C1101" s="1"/>
      <c r="D1101" s="1"/>
      <c r="E1101" s="1"/>
      <c r="F1101" s="279"/>
      <c r="G1101" s="1"/>
      <c r="J1101" s="34"/>
    </row>
    <row r="1102" spans="1:10">
      <c r="A1102" s="1"/>
      <c r="B1102" s="204"/>
      <c r="C1102" s="1"/>
      <c r="D1102" s="1"/>
      <c r="E1102" s="1"/>
      <c r="F1102" s="279"/>
      <c r="G1102" s="1"/>
      <c r="J1102" s="34"/>
    </row>
    <row r="1103" spans="1:10">
      <c r="A1103" s="1"/>
      <c r="B1103" s="204"/>
      <c r="C1103" s="1"/>
      <c r="D1103" s="1"/>
      <c r="E1103" s="1"/>
      <c r="F1103" s="279"/>
      <c r="G1103" s="1"/>
      <c r="J1103" s="34"/>
    </row>
    <row r="1104" spans="1:10">
      <c r="A1104" s="1"/>
      <c r="B1104" s="204"/>
      <c r="C1104" s="1"/>
      <c r="D1104" s="1"/>
      <c r="E1104" s="1"/>
      <c r="F1104" s="279"/>
      <c r="G1104" s="1"/>
      <c r="J1104" s="34"/>
    </row>
    <row r="1105" spans="1:10">
      <c r="A1105" s="1"/>
      <c r="B1105" s="204"/>
      <c r="C1105" s="1"/>
      <c r="D1105" s="1"/>
      <c r="E1105" s="1"/>
      <c r="F1105" s="279"/>
      <c r="G1105" s="1"/>
      <c r="J1105" s="34"/>
    </row>
    <row r="1106" spans="1:10">
      <c r="A1106" s="1"/>
      <c r="B1106" s="204"/>
      <c r="C1106" s="1"/>
      <c r="D1106" s="1"/>
      <c r="E1106" s="1"/>
      <c r="F1106" s="279"/>
      <c r="G1106" s="1"/>
      <c r="J1106" s="34"/>
    </row>
    <row r="1107" spans="1:10">
      <c r="A1107" s="1"/>
      <c r="B1107" s="204"/>
      <c r="C1107" s="1"/>
      <c r="D1107" s="1"/>
      <c r="E1107" s="1"/>
      <c r="F1107" s="279"/>
      <c r="G1107" s="1"/>
      <c r="J1107" s="34"/>
    </row>
    <row r="1108" spans="1:10">
      <c r="A1108" s="1"/>
      <c r="B1108" s="204"/>
      <c r="C1108" s="1"/>
      <c r="D1108" s="1"/>
      <c r="E1108" s="1"/>
      <c r="F1108" s="279"/>
      <c r="G1108" s="1"/>
      <c r="J1108" s="34"/>
    </row>
    <row r="1109" spans="1:10">
      <c r="A1109" s="1"/>
      <c r="B1109" s="204"/>
      <c r="C1109" s="1"/>
      <c r="D1109" s="1"/>
      <c r="E1109" s="1"/>
      <c r="F1109" s="279"/>
      <c r="G1109" s="1"/>
      <c r="J1109" s="34"/>
    </row>
    <row r="1110" spans="1:10">
      <c r="A1110" s="1"/>
      <c r="B1110" s="204"/>
      <c r="C1110" s="1"/>
      <c r="D1110" s="1"/>
      <c r="E1110" s="1"/>
      <c r="F1110" s="279"/>
      <c r="G1110" s="1"/>
      <c r="J1110" s="34"/>
    </row>
    <row r="1111" spans="1:10">
      <c r="A1111" s="1"/>
      <c r="B1111" s="204"/>
      <c r="C1111" s="1"/>
      <c r="D1111" s="1"/>
      <c r="E1111" s="1"/>
      <c r="F1111" s="279"/>
      <c r="G1111" s="1"/>
      <c r="J1111" s="34"/>
    </row>
    <row r="1112" spans="1:10">
      <c r="A1112" s="1"/>
      <c r="B1112" s="204"/>
      <c r="C1112" s="1"/>
      <c r="D1112" s="1"/>
      <c r="E1112" s="1"/>
      <c r="F1112" s="279"/>
      <c r="G1112" s="1"/>
      <c r="J1112" s="34"/>
    </row>
    <row r="1113" spans="1:10">
      <c r="A1113" s="1"/>
      <c r="B1113" s="204"/>
      <c r="C1113" s="1"/>
      <c r="D1113" s="1"/>
      <c r="E1113" s="1"/>
      <c r="F1113" s="279"/>
      <c r="G1113" s="1"/>
      <c r="J1113" s="34"/>
    </row>
    <row r="1114" spans="1:10">
      <c r="A1114" s="1"/>
      <c r="B1114" s="204"/>
      <c r="C1114" s="1"/>
      <c r="D1114" s="1"/>
      <c r="E1114" s="1"/>
      <c r="F1114" s="279"/>
      <c r="G1114" s="1"/>
      <c r="J1114" s="34"/>
    </row>
    <row r="1115" spans="1:10">
      <c r="A1115" s="1"/>
      <c r="B1115" s="204"/>
      <c r="C1115" s="1"/>
      <c r="D1115" s="1"/>
      <c r="E1115" s="1"/>
      <c r="F1115" s="279"/>
      <c r="G1115" s="1"/>
      <c r="J1115" s="34"/>
    </row>
    <row r="1116" spans="1:10">
      <c r="A1116" s="1"/>
      <c r="B1116" s="204"/>
      <c r="C1116" s="1"/>
      <c r="D1116" s="1"/>
      <c r="E1116" s="1"/>
      <c r="F1116" s="279"/>
      <c r="G1116" s="1"/>
      <c r="J1116" s="34"/>
    </row>
    <row r="1117" spans="1:10">
      <c r="A1117" s="1"/>
      <c r="B1117" s="204"/>
      <c r="C1117" s="1"/>
      <c r="D1117" s="1"/>
      <c r="E1117" s="1"/>
      <c r="F1117" s="279"/>
      <c r="G1117" s="1"/>
      <c r="J1117" s="34"/>
    </row>
    <row r="1118" spans="1:10">
      <c r="A1118" s="1"/>
      <c r="B1118" s="204"/>
      <c r="C1118" s="1"/>
      <c r="D1118" s="1"/>
      <c r="E1118" s="1"/>
      <c r="F1118" s="279"/>
      <c r="G1118" s="1"/>
      <c r="J1118" s="34"/>
    </row>
    <row r="1119" spans="1:10">
      <c r="A1119" s="1"/>
      <c r="B1119" s="204"/>
      <c r="C1119" s="1"/>
      <c r="D1119" s="1"/>
      <c r="E1119" s="1"/>
      <c r="F1119" s="279"/>
      <c r="G1119" s="1"/>
      <c r="J1119" s="34"/>
    </row>
    <row r="1120" spans="1:10">
      <c r="A1120" s="1"/>
      <c r="B1120" s="204"/>
      <c r="C1120" s="1"/>
      <c r="D1120" s="1"/>
      <c r="E1120" s="1"/>
      <c r="F1120" s="279"/>
      <c r="G1120" s="1"/>
      <c r="J1120" s="34"/>
    </row>
    <row r="1121" spans="1:10">
      <c r="A1121" s="1"/>
      <c r="B1121" s="204"/>
      <c r="C1121" s="1"/>
      <c r="D1121" s="1"/>
      <c r="E1121" s="1"/>
      <c r="F1121" s="279"/>
      <c r="G1121" s="1"/>
      <c r="J1121" s="34"/>
    </row>
    <row r="1122" spans="1:10">
      <c r="A1122" s="1"/>
      <c r="B1122" s="204"/>
      <c r="C1122" s="1"/>
      <c r="D1122" s="1"/>
      <c r="E1122" s="1"/>
      <c r="F1122" s="279"/>
      <c r="G1122" s="1"/>
      <c r="J1122" s="34"/>
    </row>
    <row r="1123" spans="1:10">
      <c r="A1123" s="1"/>
      <c r="B1123" s="204"/>
      <c r="C1123" s="1"/>
      <c r="D1123" s="1"/>
      <c r="E1123" s="1"/>
      <c r="F1123" s="279"/>
      <c r="G1123" s="1"/>
      <c r="J1123" s="34"/>
    </row>
    <row r="1124" spans="1:10">
      <c r="A1124" s="1"/>
      <c r="B1124" s="204"/>
      <c r="C1124" s="1"/>
      <c r="D1124" s="1"/>
      <c r="E1124" s="1"/>
      <c r="F1124" s="279"/>
      <c r="G1124" s="1"/>
      <c r="J1124" s="34"/>
    </row>
    <row r="1125" spans="1:10">
      <c r="A1125" s="1"/>
      <c r="B1125" s="204"/>
      <c r="C1125" s="1"/>
      <c r="D1125" s="1"/>
      <c r="E1125" s="1"/>
      <c r="F1125" s="279"/>
      <c r="G1125" s="1"/>
      <c r="J1125" s="34"/>
    </row>
    <row r="1126" spans="1:10">
      <c r="A1126" s="1"/>
      <c r="B1126" s="204"/>
      <c r="C1126" s="1"/>
      <c r="D1126" s="1"/>
      <c r="E1126" s="1"/>
      <c r="F1126" s="279"/>
      <c r="G1126" s="1"/>
      <c r="J1126" s="34"/>
    </row>
    <row r="1127" spans="1:10">
      <c r="A1127" s="1"/>
      <c r="B1127" s="204"/>
      <c r="C1127" s="1"/>
      <c r="D1127" s="1"/>
      <c r="E1127" s="1"/>
      <c r="F1127" s="279"/>
      <c r="G1127" s="1"/>
      <c r="J1127" s="34"/>
    </row>
    <row r="1128" spans="1:10">
      <c r="A1128" s="1"/>
      <c r="B1128" s="204"/>
      <c r="C1128" s="1"/>
      <c r="D1128" s="1"/>
      <c r="E1128" s="1"/>
      <c r="F1128" s="279"/>
      <c r="G1128" s="1"/>
      <c r="J1128" s="34"/>
    </row>
    <row r="1129" spans="1:10">
      <c r="A1129" s="1"/>
      <c r="B1129" s="204"/>
      <c r="C1129" s="1"/>
      <c r="D1129" s="1"/>
      <c r="E1129" s="1"/>
      <c r="F1129" s="279"/>
      <c r="G1129" s="1"/>
      <c r="J1129" s="34"/>
    </row>
    <row r="1130" spans="1:10">
      <c r="A1130" s="1"/>
      <c r="B1130" s="204"/>
      <c r="C1130" s="1"/>
      <c r="D1130" s="1"/>
      <c r="E1130" s="1"/>
      <c r="F1130" s="279"/>
      <c r="G1130" s="1"/>
      <c r="J1130" s="34"/>
    </row>
    <row r="1131" spans="1:10">
      <c r="A1131" s="1"/>
      <c r="B1131" s="204"/>
      <c r="C1131" s="1"/>
      <c r="D1131" s="1"/>
      <c r="E1131" s="1"/>
      <c r="F1131" s="279"/>
      <c r="G1131" s="1"/>
      <c r="J1131" s="34"/>
    </row>
    <row r="1132" spans="1:10">
      <c r="A1132" s="1"/>
      <c r="B1132" s="204"/>
      <c r="C1132" s="1"/>
      <c r="D1132" s="1"/>
      <c r="E1132" s="1"/>
      <c r="F1132" s="279"/>
      <c r="G1132" s="1"/>
      <c r="J1132" s="34"/>
    </row>
    <row r="1133" spans="1:10">
      <c r="A1133" s="1"/>
      <c r="B1133" s="204"/>
      <c r="C1133" s="1"/>
      <c r="D1133" s="1"/>
      <c r="E1133" s="1"/>
      <c r="F1133" s="279"/>
      <c r="G1133" s="1"/>
      <c r="J1133" s="34"/>
    </row>
    <row r="1134" spans="1:10">
      <c r="A1134" s="1"/>
      <c r="B1134" s="204"/>
      <c r="C1134" s="1"/>
      <c r="D1134" s="1"/>
      <c r="E1134" s="1"/>
      <c r="F1134" s="279"/>
      <c r="G1134" s="1"/>
      <c r="J1134" s="34"/>
    </row>
    <row r="1135" spans="1:10">
      <c r="A1135" s="1"/>
      <c r="B1135" s="204"/>
      <c r="C1135" s="1"/>
      <c r="D1135" s="1"/>
      <c r="E1135" s="1"/>
      <c r="F1135" s="279"/>
      <c r="G1135" s="1"/>
      <c r="J1135" s="34"/>
    </row>
    <row r="1136" spans="1:10">
      <c r="A1136" s="1"/>
      <c r="B1136" s="204"/>
      <c r="C1136" s="1"/>
      <c r="D1136" s="1"/>
      <c r="E1136" s="1"/>
      <c r="F1136" s="279"/>
      <c r="G1136" s="1"/>
      <c r="J1136" s="34"/>
    </row>
    <row r="1137" spans="1:10">
      <c r="A1137" s="1"/>
      <c r="B1137" s="204"/>
      <c r="C1137" s="1"/>
      <c r="D1137" s="1"/>
      <c r="E1137" s="1"/>
      <c r="F1137" s="279"/>
      <c r="G1137" s="1"/>
      <c r="J1137" s="34"/>
    </row>
    <row r="1138" spans="1:10">
      <c r="A1138" s="1"/>
      <c r="B1138" s="204"/>
      <c r="C1138" s="1"/>
      <c r="D1138" s="1"/>
      <c r="E1138" s="1"/>
      <c r="F1138" s="279"/>
      <c r="G1138" s="1"/>
      <c r="J1138" s="34"/>
    </row>
    <row r="1139" spans="1:10">
      <c r="A1139" s="1"/>
      <c r="B1139" s="204"/>
      <c r="C1139" s="1"/>
      <c r="D1139" s="1"/>
      <c r="E1139" s="1"/>
      <c r="F1139" s="279"/>
      <c r="G1139" s="1"/>
      <c r="J1139" s="34"/>
    </row>
    <row r="1140" spans="1:10">
      <c r="A1140" s="1"/>
      <c r="B1140" s="204"/>
      <c r="C1140" s="1"/>
      <c r="D1140" s="1"/>
      <c r="E1140" s="1"/>
      <c r="F1140" s="279"/>
      <c r="G1140" s="1"/>
      <c r="J1140" s="34"/>
    </row>
    <row r="1141" spans="1:10">
      <c r="A1141" s="1"/>
      <c r="B1141" s="204"/>
      <c r="C1141" s="1"/>
      <c r="D1141" s="1"/>
      <c r="E1141" s="1"/>
      <c r="F1141" s="279"/>
      <c r="G1141" s="1"/>
      <c r="J1141" s="34"/>
    </row>
    <row r="1142" spans="1:10">
      <c r="A1142" s="1"/>
      <c r="B1142" s="204"/>
      <c r="C1142" s="1"/>
      <c r="D1142" s="1"/>
      <c r="E1142" s="1"/>
      <c r="F1142" s="279"/>
      <c r="G1142" s="1"/>
      <c r="J1142" s="34"/>
    </row>
    <row r="1143" spans="1:10">
      <c r="A1143" s="1"/>
      <c r="B1143" s="204"/>
      <c r="C1143" s="1"/>
      <c r="D1143" s="1"/>
      <c r="E1143" s="1"/>
      <c r="F1143" s="279"/>
      <c r="G1143" s="1"/>
      <c r="J1143" s="34"/>
    </row>
    <row r="1144" spans="1:10">
      <c r="A1144" s="1"/>
      <c r="B1144" s="204"/>
      <c r="C1144" s="1"/>
      <c r="D1144" s="1"/>
      <c r="E1144" s="1"/>
      <c r="F1144" s="279"/>
      <c r="G1144" s="1"/>
      <c r="J1144" s="34"/>
    </row>
    <row r="1145" spans="1:10">
      <c r="A1145" s="1"/>
      <c r="B1145" s="204"/>
      <c r="C1145" s="1"/>
      <c r="D1145" s="1"/>
      <c r="E1145" s="1"/>
      <c r="F1145" s="279"/>
      <c r="G1145" s="1"/>
      <c r="J1145" s="34"/>
    </row>
    <row r="1146" spans="1:10">
      <c r="A1146" s="1"/>
      <c r="B1146" s="204"/>
      <c r="C1146" s="1"/>
      <c r="D1146" s="1"/>
      <c r="E1146" s="1"/>
      <c r="F1146" s="279"/>
      <c r="G1146" s="1"/>
      <c r="J1146" s="34"/>
    </row>
    <row r="1147" spans="1:10">
      <c r="A1147" s="1"/>
      <c r="B1147" s="204"/>
      <c r="C1147" s="1"/>
      <c r="D1147" s="1"/>
      <c r="E1147" s="1"/>
      <c r="F1147" s="279"/>
      <c r="G1147" s="1"/>
      <c r="J1147" s="34"/>
    </row>
    <row r="1148" spans="1:10">
      <c r="A1148" s="1"/>
      <c r="B1148" s="204"/>
      <c r="C1148" s="1"/>
      <c r="D1148" s="1"/>
      <c r="E1148" s="1"/>
      <c r="F1148" s="279"/>
      <c r="G1148" s="1"/>
      <c r="J1148" s="34"/>
    </row>
    <row r="1149" spans="1:10">
      <c r="A1149" s="1"/>
      <c r="B1149" s="204"/>
      <c r="C1149" s="1"/>
      <c r="D1149" s="1"/>
      <c r="E1149" s="1"/>
      <c r="F1149" s="279"/>
      <c r="G1149" s="1"/>
      <c r="J1149" s="34"/>
    </row>
    <row r="1150" spans="1:10">
      <c r="A1150" s="1"/>
      <c r="B1150" s="204"/>
      <c r="C1150" s="1"/>
      <c r="D1150" s="1"/>
      <c r="E1150" s="1"/>
      <c r="F1150" s="279"/>
      <c r="G1150" s="1"/>
      <c r="J1150" s="34"/>
    </row>
    <row r="1151" spans="1:10">
      <c r="A1151" s="1"/>
      <c r="B1151" s="204"/>
      <c r="C1151" s="1"/>
      <c r="D1151" s="1"/>
      <c r="E1151" s="1"/>
      <c r="F1151" s="279"/>
      <c r="G1151" s="1"/>
      <c r="J1151" s="34"/>
    </row>
    <row r="1152" spans="1:10">
      <c r="A1152" s="1"/>
      <c r="B1152" s="204"/>
      <c r="C1152" s="1"/>
      <c r="D1152" s="1"/>
      <c r="E1152" s="1"/>
      <c r="F1152" s="279"/>
      <c r="G1152" s="1"/>
      <c r="J1152" s="34"/>
    </row>
    <row r="1153" spans="1:10">
      <c r="A1153" s="1"/>
      <c r="B1153" s="204"/>
      <c r="C1153" s="1"/>
      <c r="D1153" s="1"/>
      <c r="E1153" s="1"/>
      <c r="F1153" s="279"/>
      <c r="G1153" s="1"/>
      <c r="J1153" s="34"/>
    </row>
    <row r="1154" spans="1:10">
      <c r="A1154" s="1"/>
      <c r="B1154" s="204"/>
      <c r="C1154" s="1"/>
      <c r="D1154" s="1"/>
      <c r="E1154" s="1"/>
      <c r="F1154" s="279"/>
      <c r="G1154" s="1"/>
      <c r="J1154" s="34"/>
    </row>
    <row r="1155" spans="1:10">
      <c r="A1155" s="1"/>
      <c r="B1155" s="204"/>
      <c r="C1155" s="1"/>
      <c r="D1155" s="1"/>
      <c r="E1155" s="1"/>
      <c r="F1155" s="279"/>
      <c r="G1155" s="1"/>
      <c r="J1155" s="34"/>
    </row>
    <row r="1156" spans="1:10">
      <c r="A1156" s="1"/>
      <c r="B1156" s="204"/>
      <c r="C1156" s="1"/>
      <c r="D1156" s="1"/>
      <c r="E1156" s="1"/>
      <c r="F1156" s="279"/>
      <c r="G1156" s="1"/>
      <c r="J1156" s="34"/>
    </row>
    <row r="1157" spans="1:10">
      <c r="A1157" s="1"/>
      <c r="B1157" s="204"/>
      <c r="C1157" s="1"/>
      <c r="D1157" s="1"/>
      <c r="E1157" s="1"/>
      <c r="F1157" s="279"/>
      <c r="G1157" s="1"/>
      <c r="J1157" s="34"/>
    </row>
    <row r="1158" spans="1:10">
      <c r="A1158" s="1"/>
      <c r="B1158" s="204"/>
      <c r="C1158" s="1"/>
      <c r="D1158" s="1"/>
      <c r="E1158" s="1"/>
      <c r="F1158" s="279"/>
      <c r="G1158" s="1"/>
      <c r="J1158" s="34"/>
    </row>
    <row r="1159" spans="1:10">
      <c r="A1159" s="1"/>
      <c r="B1159" s="204"/>
      <c r="C1159" s="1"/>
      <c r="D1159" s="1"/>
      <c r="E1159" s="1"/>
      <c r="F1159" s="279"/>
      <c r="G1159" s="1"/>
      <c r="J1159" s="34"/>
    </row>
    <row r="1160" spans="1:10">
      <c r="A1160" s="1"/>
      <c r="B1160" s="204"/>
      <c r="C1160" s="1"/>
      <c r="D1160" s="1"/>
      <c r="E1160" s="1"/>
      <c r="F1160" s="279"/>
      <c r="G1160" s="1"/>
      <c r="J1160" s="34"/>
    </row>
    <row r="1161" spans="1:10">
      <c r="A1161" s="1"/>
      <c r="B1161" s="204"/>
      <c r="C1161" s="1"/>
      <c r="D1161" s="1"/>
      <c r="E1161" s="1"/>
      <c r="F1161" s="279"/>
      <c r="G1161" s="1"/>
      <c r="J1161" s="34"/>
    </row>
    <row r="1162" spans="1:10">
      <c r="A1162" s="1"/>
      <c r="B1162" s="204"/>
      <c r="C1162" s="1"/>
      <c r="D1162" s="1"/>
      <c r="E1162" s="1"/>
      <c r="F1162" s="279"/>
      <c r="G1162" s="1"/>
      <c r="J1162" s="34"/>
    </row>
    <row r="1163" spans="1:10">
      <c r="A1163" s="1"/>
      <c r="B1163" s="204"/>
      <c r="C1163" s="1"/>
      <c r="D1163" s="1"/>
      <c r="E1163" s="1"/>
      <c r="F1163" s="279"/>
      <c r="G1163" s="1"/>
      <c r="J1163" s="34"/>
    </row>
    <row r="1164" spans="1:10">
      <c r="A1164" s="1"/>
      <c r="B1164" s="204"/>
      <c r="C1164" s="1"/>
      <c r="D1164" s="1"/>
      <c r="E1164" s="1"/>
      <c r="F1164" s="279"/>
      <c r="G1164" s="1"/>
      <c r="J1164" s="34"/>
    </row>
    <row r="1165" spans="1:10">
      <c r="A1165" s="1"/>
      <c r="B1165" s="204"/>
      <c r="C1165" s="1"/>
      <c r="D1165" s="1"/>
      <c r="E1165" s="1"/>
      <c r="F1165" s="279"/>
      <c r="G1165" s="1"/>
      <c r="J1165" s="34"/>
    </row>
    <row r="1166" spans="1:10">
      <c r="A1166" s="1"/>
      <c r="B1166" s="204"/>
      <c r="C1166" s="1"/>
      <c r="D1166" s="1"/>
      <c r="E1166" s="1"/>
      <c r="F1166" s="279"/>
      <c r="G1166" s="1"/>
      <c r="J1166" s="34"/>
    </row>
    <row r="1167" spans="1:10">
      <c r="A1167" s="1"/>
      <c r="B1167" s="204"/>
      <c r="C1167" s="1"/>
      <c r="D1167" s="1"/>
      <c r="E1167" s="1"/>
      <c r="F1167" s="279"/>
      <c r="G1167" s="1"/>
      <c r="J1167" s="34"/>
    </row>
    <row r="1168" spans="1:10">
      <c r="A1168" s="1"/>
      <c r="B1168" s="204"/>
      <c r="C1168" s="1"/>
      <c r="D1168" s="1"/>
      <c r="E1168" s="1"/>
      <c r="F1168" s="279"/>
      <c r="G1168" s="1"/>
      <c r="J1168" s="34"/>
    </row>
    <row r="1169" spans="1:10">
      <c r="A1169" s="1"/>
      <c r="B1169" s="204"/>
      <c r="C1169" s="1"/>
      <c r="D1169" s="1"/>
      <c r="E1169" s="1"/>
      <c r="F1169" s="279"/>
      <c r="G1169" s="1"/>
      <c r="J1169" s="34"/>
    </row>
    <row r="1170" spans="1:10">
      <c r="A1170" s="1"/>
      <c r="B1170" s="204"/>
      <c r="C1170" s="1"/>
      <c r="D1170" s="1"/>
      <c r="E1170" s="1"/>
      <c r="F1170" s="279"/>
      <c r="G1170" s="1"/>
      <c r="J1170" s="34"/>
    </row>
    <row r="1171" spans="1:10">
      <c r="A1171" s="1"/>
      <c r="B1171" s="204"/>
      <c r="C1171" s="1"/>
      <c r="D1171" s="1"/>
      <c r="E1171" s="1"/>
      <c r="F1171" s="279"/>
      <c r="G1171" s="1"/>
      <c r="J1171" s="34"/>
    </row>
    <row r="1172" spans="1:10">
      <c r="A1172" s="1"/>
      <c r="B1172" s="204"/>
      <c r="C1172" s="1"/>
      <c r="D1172" s="1"/>
      <c r="E1172" s="1"/>
      <c r="F1172" s="279"/>
      <c r="G1172" s="1"/>
      <c r="J1172" s="34"/>
    </row>
    <row r="1173" spans="1:10">
      <c r="A1173" s="1"/>
      <c r="B1173" s="204"/>
      <c r="C1173" s="1"/>
      <c r="D1173" s="1"/>
      <c r="E1173" s="1"/>
      <c r="F1173" s="279"/>
      <c r="G1173" s="1"/>
      <c r="J1173" s="34"/>
    </row>
    <row r="1174" spans="1:10">
      <c r="A1174" s="1"/>
      <c r="B1174" s="204"/>
      <c r="C1174" s="1"/>
      <c r="D1174" s="1"/>
      <c r="E1174" s="1"/>
      <c r="F1174" s="279"/>
      <c r="G1174" s="1"/>
      <c r="J1174" s="34"/>
    </row>
    <row r="1175" spans="1:10">
      <c r="A1175" s="1"/>
      <c r="B1175" s="204"/>
      <c r="C1175" s="1"/>
      <c r="D1175" s="1"/>
      <c r="E1175" s="1"/>
      <c r="F1175" s="279"/>
      <c r="G1175" s="1"/>
      <c r="J1175" s="34"/>
    </row>
    <row r="1176" spans="1:10">
      <c r="A1176" s="1"/>
      <c r="B1176" s="204"/>
      <c r="C1176" s="1"/>
      <c r="D1176" s="1"/>
      <c r="E1176" s="1"/>
      <c r="F1176" s="279"/>
      <c r="G1176" s="1"/>
      <c r="J1176" s="34"/>
    </row>
    <row r="1177" spans="1:10">
      <c r="A1177" s="1"/>
      <c r="B1177" s="204"/>
      <c r="C1177" s="1"/>
      <c r="D1177" s="1"/>
      <c r="E1177" s="1"/>
      <c r="F1177" s="279"/>
      <c r="G1177" s="1"/>
      <c r="J1177" s="34"/>
    </row>
    <row r="1178" spans="1:10">
      <c r="A1178" s="1"/>
      <c r="B1178" s="204"/>
      <c r="C1178" s="1"/>
      <c r="D1178" s="1"/>
      <c r="E1178" s="1"/>
      <c r="F1178" s="279"/>
      <c r="G1178" s="1"/>
      <c r="J1178" s="34"/>
    </row>
    <row r="1179" spans="1:10">
      <c r="A1179" s="1"/>
      <c r="B1179" s="204"/>
      <c r="C1179" s="1"/>
      <c r="D1179" s="1"/>
      <c r="E1179" s="1"/>
      <c r="F1179" s="279"/>
      <c r="G1179" s="1"/>
      <c r="J1179" s="34"/>
    </row>
    <row r="1180" spans="1:10">
      <c r="A1180" s="1"/>
      <c r="B1180" s="204"/>
      <c r="C1180" s="1"/>
      <c r="D1180" s="1"/>
      <c r="E1180" s="1"/>
      <c r="F1180" s="279"/>
      <c r="G1180" s="1"/>
      <c r="J1180" s="34"/>
    </row>
    <row r="1181" spans="1:10">
      <c r="A1181" s="1"/>
      <c r="B1181" s="204"/>
      <c r="C1181" s="1"/>
      <c r="D1181" s="1"/>
      <c r="E1181" s="1"/>
      <c r="F1181" s="279"/>
      <c r="G1181" s="1"/>
      <c r="J1181" s="34"/>
    </row>
    <row r="1182" spans="1:10">
      <c r="A1182" s="1"/>
      <c r="B1182" s="204"/>
      <c r="C1182" s="1"/>
      <c r="D1182" s="1"/>
      <c r="E1182" s="1"/>
      <c r="F1182" s="279"/>
      <c r="G1182" s="1"/>
      <c r="J1182" s="34"/>
    </row>
    <row r="1183" spans="1:10">
      <c r="A1183" s="1"/>
      <c r="B1183" s="204"/>
      <c r="C1183" s="1"/>
      <c r="D1183" s="1"/>
      <c r="E1183" s="1"/>
      <c r="F1183" s="279"/>
      <c r="G1183" s="1"/>
      <c r="J1183" s="34"/>
    </row>
    <row r="1184" spans="1:10">
      <c r="A1184" s="1"/>
      <c r="B1184" s="204"/>
      <c r="C1184" s="1"/>
      <c r="D1184" s="1"/>
      <c r="E1184" s="1"/>
      <c r="F1184" s="279"/>
      <c r="G1184" s="1"/>
      <c r="J1184" s="34"/>
    </row>
    <row r="1185" spans="1:10">
      <c r="A1185" s="1"/>
      <c r="B1185" s="204"/>
      <c r="C1185" s="1"/>
      <c r="D1185" s="1"/>
      <c r="E1185" s="1"/>
      <c r="F1185" s="279"/>
      <c r="G1185" s="1"/>
      <c r="J1185" s="34"/>
    </row>
    <row r="1186" spans="1:10">
      <c r="A1186" s="1"/>
      <c r="B1186" s="204"/>
      <c r="C1186" s="1"/>
      <c r="D1186" s="1"/>
      <c r="E1186" s="1"/>
      <c r="F1186" s="279"/>
      <c r="G1186" s="1"/>
      <c r="J1186" s="34"/>
    </row>
    <row r="1187" spans="1:10">
      <c r="A1187" s="1"/>
      <c r="B1187" s="204"/>
      <c r="C1187" s="1"/>
      <c r="D1187" s="1"/>
      <c r="E1187" s="1"/>
      <c r="F1187" s="279"/>
      <c r="G1187" s="1"/>
      <c r="J1187" s="34"/>
    </row>
    <row r="1188" spans="1:10">
      <c r="A1188" s="1"/>
      <c r="B1188" s="204"/>
      <c r="C1188" s="1"/>
      <c r="D1188" s="1"/>
      <c r="E1188" s="1"/>
      <c r="F1188" s="279"/>
      <c r="G1188" s="1"/>
      <c r="J1188" s="34"/>
    </row>
    <row r="1189" spans="1:10">
      <c r="A1189" s="1"/>
      <c r="B1189" s="204"/>
      <c r="C1189" s="1"/>
      <c r="D1189" s="1"/>
      <c r="E1189" s="1"/>
      <c r="F1189" s="279"/>
      <c r="G1189" s="1"/>
      <c r="J1189" s="34"/>
    </row>
    <row r="1190" spans="1:10">
      <c r="A1190" s="1"/>
      <c r="B1190" s="204"/>
      <c r="C1190" s="1"/>
      <c r="D1190" s="1"/>
      <c r="E1190" s="1"/>
      <c r="F1190" s="279"/>
      <c r="G1190" s="1"/>
      <c r="J1190" s="34"/>
    </row>
    <row r="1191" spans="1:10">
      <c r="A1191" s="1"/>
      <c r="B1191" s="204"/>
      <c r="C1191" s="1"/>
      <c r="D1191" s="1"/>
      <c r="E1191" s="1"/>
      <c r="F1191" s="279"/>
      <c r="G1191" s="1"/>
      <c r="J1191" s="34"/>
    </row>
    <row r="1192" spans="1:10">
      <c r="A1192" s="1"/>
      <c r="B1192" s="204"/>
      <c r="C1192" s="1"/>
      <c r="D1192" s="1"/>
      <c r="E1192" s="1"/>
      <c r="F1192" s="279"/>
      <c r="G1192" s="1"/>
      <c r="J1192" s="34"/>
    </row>
    <row r="1193" spans="1:10">
      <c r="A1193" s="1"/>
      <c r="B1193" s="204"/>
      <c r="C1193" s="1"/>
      <c r="D1193" s="1"/>
      <c r="E1193" s="1"/>
      <c r="F1193" s="279"/>
      <c r="G1193" s="1"/>
      <c r="J1193" s="34"/>
    </row>
    <row r="1194" spans="1:10">
      <c r="A1194" s="1"/>
      <c r="B1194" s="204"/>
      <c r="C1194" s="1"/>
      <c r="D1194" s="1"/>
      <c r="E1194" s="1"/>
      <c r="F1194" s="279"/>
      <c r="G1194" s="1"/>
      <c r="J1194" s="34"/>
    </row>
    <row r="1195" spans="1:10">
      <c r="A1195" s="1"/>
      <c r="B1195" s="204"/>
      <c r="C1195" s="1"/>
      <c r="D1195" s="1"/>
      <c r="E1195" s="1"/>
      <c r="F1195" s="279"/>
      <c r="G1195" s="1"/>
      <c r="J1195" s="34"/>
    </row>
    <row r="1196" spans="1:10">
      <c r="A1196" s="1"/>
      <c r="B1196" s="204"/>
      <c r="C1196" s="1"/>
      <c r="D1196" s="1"/>
      <c r="E1196" s="1"/>
      <c r="F1196" s="279"/>
      <c r="G1196" s="1"/>
      <c r="J1196" s="34"/>
    </row>
    <row r="1197" spans="1:10">
      <c r="A1197" s="1"/>
      <c r="B1197" s="204"/>
      <c r="C1197" s="1"/>
      <c r="D1197" s="1"/>
      <c r="E1197" s="1"/>
      <c r="F1197" s="279"/>
      <c r="G1197" s="1"/>
      <c r="J1197" s="34"/>
    </row>
    <row r="1198" spans="1:10">
      <c r="A1198" s="1"/>
      <c r="B1198" s="204"/>
      <c r="C1198" s="1"/>
      <c r="D1198" s="1"/>
      <c r="E1198" s="1"/>
      <c r="F1198" s="279"/>
      <c r="G1198" s="1"/>
      <c r="J1198" s="34"/>
    </row>
    <row r="1199" spans="1:10">
      <c r="A1199" s="1"/>
      <c r="B1199" s="204"/>
      <c r="C1199" s="1"/>
      <c r="D1199" s="1"/>
      <c r="E1199" s="1"/>
      <c r="F1199" s="279"/>
      <c r="G1199" s="1"/>
      <c r="J1199" s="34"/>
    </row>
    <row r="1200" spans="1:10">
      <c r="A1200" s="1"/>
      <c r="B1200" s="204"/>
      <c r="C1200" s="1"/>
      <c r="D1200" s="1"/>
      <c r="E1200" s="1"/>
      <c r="F1200" s="279"/>
      <c r="G1200" s="1"/>
      <c r="J1200" s="34"/>
    </row>
    <row r="1201" spans="1:10">
      <c r="A1201" s="1"/>
      <c r="B1201" s="204"/>
      <c r="C1201" s="1"/>
      <c r="D1201" s="1"/>
      <c r="E1201" s="1"/>
      <c r="F1201" s="279"/>
      <c r="G1201" s="1"/>
      <c r="J1201" s="34"/>
    </row>
    <row r="1202" spans="1:10">
      <c r="A1202" s="1"/>
      <c r="B1202" s="204"/>
      <c r="C1202" s="1"/>
      <c r="D1202" s="1"/>
      <c r="E1202" s="1"/>
      <c r="F1202" s="279"/>
      <c r="G1202" s="1"/>
      <c r="J1202" s="34"/>
    </row>
    <row r="1203" spans="1:10">
      <c r="A1203" s="1"/>
      <c r="B1203" s="204"/>
      <c r="C1203" s="1"/>
      <c r="D1203" s="1"/>
      <c r="E1203" s="1"/>
      <c r="F1203" s="279"/>
      <c r="G1203" s="1"/>
      <c r="J1203" s="34"/>
    </row>
    <row r="1204" spans="1:10">
      <c r="A1204" s="1"/>
      <c r="B1204" s="204"/>
      <c r="C1204" s="1"/>
      <c r="D1204" s="1"/>
      <c r="E1204" s="1"/>
      <c r="F1204" s="279"/>
      <c r="G1204" s="1"/>
      <c r="J1204" s="34"/>
    </row>
    <row r="1205" spans="1:10">
      <c r="A1205" s="1"/>
      <c r="B1205" s="204"/>
      <c r="C1205" s="1"/>
      <c r="D1205" s="1"/>
      <c r="E1205" s="1"/>
      <c r="F1205" s="279"/>
      <c r="G1205" s="1"/>
      <c r="J1205" s="34"/>
    </row>
    <row r="1206" spans="1:10">
      <c r="A1206" s="1"/>
      <c r="B1206" s="204"/>
      <c r="C1206" s="1"/>
      <c r="D1206" s="1"/>
      <c r="E1206" s="1"/>
      <c r="F1206" s="279"/>
      <c r="G1206" s="1"/>
      <c r="J1206" s="34"/>
    </row>
    <row r="1207" spans="1:10">
      <c r="A1207" s="1"/>
      <c r="B1207" s="204"/>
      <c r="C1207" s="1"/>
      <c r="D1207" s="1"/>
      <c r="E1207" s="1"/>
      <c r="F1207" s="279"/>
      <c r="G1207" s="1"/>
      <c r="J1207" s="34"/>
    </row>
    <row r="1208" spans="1:10">
      <c r="A1208" s="1"/>
      <c r="B1208" s="204"/>
      <c r="C1208" s="1"/>
      <c r="D1208" s="1"/>
      <c r="E1208" s="1"/>
      <c r="F1208" s="279"/>
      <c r="G1208" s="1"/>
      <c r="J1208" s="34"/>
    </row>
    <row r="1209" spans="1:10">
      <c r="A1209" s="1"/>
      <c r="B1209" s="204"/>
      <c r="C1209" s="1"/>
      <c r="D1209" s="1"/>
      <c r="E1209" s="1"/>
      <c r="F1209" s="279"/>
      <c r="G1209" s="1"/>
      <c r="J1209" s="34"/>
    </row>
    <row r="1210" spans="1:10">
      <c r="A1210" s="1"/>
      <c r="B1210" s="204"/>
      <c r="C1210" s="1"/>
      <c r="D1210" s="1"/>
      <c r="E1210" s="1"/>
      <c r="F1210" s="279"/>
      <c r="G1210" s="1"/>
      <c r="J1210" s="34"/>
    </row>
    <row r="1211" spans="1:10">
      <c r="A1211" s="1"/>
      <c r="B1211" s="204"/>
      <c r="C1211" s="1"/>
      <c r="D1211" s="1"/>
      <c r="E1211" s="1"/>
      <c r="F1211" s="279"/>
      <c r="G1211" s="1"/>
      <c r="J1211" s="34"/>
    </row>
    <row r="1212" spans="1:10">
      <c r="A1212" s="1"/>
      <c r="B1212" s="204"/>
      <c r="C1212" s="1"/>
      <c r="D1212" s="1"/>
      <c r="E1212" s="1"/>
      <c r="F1212" s="279"/>
      <c r="G1212" s="1"/>
      <c r="J1212" s="34"/>
    </row>
    <row r="1213" spans="1:10">
      <c r="A1213" s="1"/>
      <c r="B1213" s="204"/>
      <c r="C1213" s="1"/>
      <c r="D1213" s="1"/>
      <c r="E1213" s="1"/>
      <c r="F1213" s="279"/>
      <c r="G1213" s="1"/>
      <c r="J1213" s="34"/>
    </row>
    <row r="1214" spans="1:10">
      <c r="A1214" s="1"/>
      <c r="B1214" s="204"/>
      <c r="C1214" s="1"/>
      <c r="D1214" s="1"/>
      <c r="E1214" s="1"/>
      <c r="F1214" s="279"/>
      <c r="G1214" s="1"/>
      <c r="J1214" s="34"/>
    </row>
    <row r="1215" spans="1:10">
      <c r="A1215" s="1"/>
      <c r="B1215" s="204"/>
      <c r="C1215" s="1"/>
      <c r="D1215" s="1"/>
      <c r="E1215" s="1"/>
      <c r="F1215" s="279"/>
      <c r="G1215" s="1"/>
      <c r="J1215" s="34"/>
    </row>
    <row r="1216" spans="1:10">
      <c r="A1216" s="1"/>
      <c r="B1216" s="204"/>
      <c r="C1216" s="1"/>
      <c r="D1216" s="1"/>
      <c r="E1216" s="1"/>
      <c r="F1216" s="279"/>
      <c r="G1216" s="1"/>
      <c r="J1216" s="34"/>
    </row>
    <row r="1217" spans="1:10">
      <c r="A1217" s="1"/>
      <c r="B1217" s="204"/>
      <c r="C1217" s="1"/>
      <c r="D1217" s="1"/>
      <c r="E1217" s="1"/>
      <c r="F1217" s="279"/>
      <c r="G1217" s="1"/>
      <c r="J1217" s="34"/>
    </row>
    <row r="1218" spans="1:10">
      <c r="A1218" s="1"/>
      <c r="B1218" s="204"/>
      <c r="C1218" s="1"/>
      <c r="D1218" s="1"/>
      <c r="E1218" s="1"/>
      <c r="F1218" s="279"/>
      <c r="G1218" s="1"/>
      <c r="J1218" s="34"/>
    </row>
    <row r="1219" spans="1:10">
      <c r="A1219" s="1"/>
      <c r="B1219" s="204"/>
      <c r="C1219" s="1"/>
      <c r="D1219" s="1"/>
      <c r="E1219" s="1"/>
      <c r="F1219" s="279"/>
      <c r="G1219" s="1"/>
      <c r="J1219" s="34"/>
    </row>
    <row r="1220" spans="1:10">
      <c r="A1220" s="1"/>
      <c r="B1220" s="204"/>
      <c r="C1220" s="1"/>
      <c r="D1220" s="1"/>
      <c r="E1220" s="1"/>
      <c r="F1220" s="279"/>
      <c r="G1220" s="1"/>
      <c r="J1220" s="34"/>
    </row>
    <row r="1221" spans="1:10">
      <c r="A1221" s="1"/>
      <c r="B1221" s="204"/>
      <c r="C1221" s="1"/>
      <c r="D1221" s="1"/>
      <c r="E1221" s="1"/>
      <c r="F1221" s="279"/>
      <c r="G1221" s="1"/>
      <c r="J1221" s="34"/>
    </row>
    <row r="1222" spans="1:10">
      <c r="A1222" s="1"/>
      <c r="B1222" s="204"/>
      <c r="C1222" s="1"/>
      <c r="D1222" s="1"/>
      <c r="E1222" s="1"/>
      <c r="F1222" s="279"/>
      <c r="G1222" s="1"/>
      <c r="J1222" s="34"/>
    </row>
    <row r="1223" spans="1:10">
      <c r="A1223" s="1"/>
      <c r="B1223" s="204"/>
      <c r="C1223" s="1"/>
      <c r="D1223" s="1"/>
      <c r="E1223" s="1"/>
      <c r="F1223" s="279"/>
      <c r="G1223" s="1"/>
      <c r="J1223" s="34"/>
    </row>
    <row r="1224" spans="1:10">
      <c r="A1224" s="1"/>
      <c r="B1224" s="204"/>
      <c r="C1224" s="1"/>
      <c r="D1224" s="1"/>
      <c r="E1224" s="1"/>
      <c r="F1224" s="279"/>
      <c r="G1224" s="1"/>
      <c r="J1224" s="34"/>
    </row>
    <row r="1225" spans="1:10">
      <c r="A1225" s="1"/>
      <c r="B1225" s="204"/>
      <c r="C1225" s="1"/>
      <c r="D1225" s="1"/>
      <c r="E1225" s="1"/>
      <c r="F1225" s="279"/>
      <c r="G1225" s="1"/>
      <c r="J1225" s="34"/>
    </row>
    <row r="1226" spans="1:10">
      <c r="A1226" s="1"/>
      <c r="B1226" s="204"/>
      <c r="C1226" s="1"/>
      <c r="D1226" s="1"/>
      <c r="E1226" s="1"/>
      <c r="F1226" s="279"/>
      <c r="G1226" s="1"/>
      <c r="J1226" s="34"/>
    </row>
    <row r="1227" spans="1:10">
      <c r="A1227" s="1"/>
      <c r="B1227" s="204"/>
      <c r="C1227" s="1"/>
      <c r="D1227" s="1"/>
      <c r="E1227" s="1"/>
      <c r="F1227" s="279"/>
      <c r="G1227" s="1"/>
      <c r="J1227" s="34"/>
    </row>
    <row r="1228" spans="1:10">
      <c r="A1228" s="1"/>
      <c r="B1228" s="204"/>
      <c r="C1228" s="1"/>
      <c r="D1228" s="1"/>
      <c r="E1228" s="1"/>
      <c r="F1228" s="279"/>
      <c r="G1228" s="1"/>
      <c r="J1228" s="34"/>
    </row>
    <row r="1229" spans="1:10">
      <c r="A1229" s="1"/>
      <c r="B1229" s="204"/>
      <c r="C1229" s="1"/>
      <c r="D1229" s="1"/>
      <c r="E1229" s="1"/>
      <c r="F1229" s="279"/>
      <c r="G1229" s="1"/>
      <c r="J1229" s="34"/>
    </row>
    <row r="1230" spans="1:10">
      <c r="A1230" s="1"/>
      <c r="B1230" s="204"/>
      <c r="C1230" s="1"/>
      <c r="D1230" s="1"/>
      <c r="E1230" s="1"/>
      <c r="F1230" s="279"/>
      <c r="G1230" s="1"/>
      <c r="J1230" s="34"/>
    </row>
    <row r="1231" spans="1:10">
      <c r="A1231" s="1"/>
      <c r="B1231" s="204"/>
      <c r="C1231" s="1"/>
      <c r="D1231" s="1"/>
      <c r="E1231" s="1"/>
      <c r="F1231" s="279"/>
      <c r="G1231" s="1"/>
      <c r="J1231" s="34"/>
    </row>
    <row r="1232" spans="1:10">
      <c r="A1232" s="1"/>
      <c r="B1232" s="204"/>
      <c r="C1232" s="1"/>
      <c r="D1232" s="1"/>
      <c r="E1232" s="1"/>
      <c r="F1232" s="279"/>
      <c r="G1232" s="1"/>
      <c r="J1232" s="34"/>
    </row>
    <row r="1233" spans="1:10">
      <c r="A1233" s="1"/>
      <c r="B1233" s="204"/>
      <c r="C1233" s="1"/>
      <c r="D1233" s="1"/>
      <c r="E1233" s="1"/>
      <c r="F1233" s="279"/>
      <c r="G1233" s="1"/>
      <c r="J1233" s="34"/>
    </row>
    <row r="1234" spans="1:10">
      <c r="A1234" s="1"/>
      <c r="B1234" s="204"/>
      <c r="C1234" s="1"/>
      <c r="D1234" s="1"/>
      <c r="E1234" s="1"/>
      <c r="F1234" s="279"/>
      <c r="G1234" s="1"/>
      <c r="J1234" s="34"/>
    </row>
    <row r="1235" spans="1:10">
      <c r="A1235" s="1"/>
      <c r="B1235" s="204"/>
      <c r="C1235" s="1"/>
      <c r="D1235" s="1"/>
      <c r="E1235" s="1"/>
      <c r="F1235" s="279"/>
      <c r="G1235" s="1"/>
      <c r="J1235" s="34"/>
    </row>
    <row r="1236" spans="1:10">
      <c r="A1236" s="1"/>
      <c r="B1236" s="204"/>
      <c r="C1236" s="1"/>
      <c r="D1236" s="1"/>
      <c r="E1236" s="1"/>
      <c r="F1236" s="279"/>
      <c r="G1236" s="1"/>
      <c r="J1236" s="34"/>
    </row>
    <row r="1237" spans="1:10">
      <c r="A1237" s="1"/>
      <c r="B1237" s="204"/>
      <c r="C1237" s="1"/>
      <c r="D1237" s="1"/>
      <c r="E1237" s="1"/>
      <c r="F1237" s="279"/>
      <c r="G1237" s="1"/>
      <c r="J1237" s="34"/>
    </row>
    <row r="1238" spans="1:10">
      <c r="A1238" s="1"/>
      <c r="B1238" s="204"/>
      <c r="C1238" s="1"/>
      <c r="D1238" s="1"/>
      <c r="E1238" s="1"/>
      <c r="F1238" s="279"/>
      <c r="G1238" s="1"/>
      <c r="J1238" s="34"/>
    </row>
    <row r="1239" spans="1:10">
      <c r="A1239" s="1"/>
      <c r="B1239" s="204"/>
      <c r="C1239" s="1"/>
      <c r="D1239" s="1"/>
      <c r="E1239" s="1"/>
      <c r="F1239" s="279"/>
      <c r="G1239" s="1"/>
      <c r="J1239" s="34"/>
    </row>
    <row r="1240" spans="1:10">
      <c r="A1240" s="1"/>
      <c r="B1240" s="204"/>
      <c r="C1240" s="1"/>
      <c r="D1240" s="1"/>
      <c r="E1240" s="1"/>
      <c r="F1240" s="279"/>
      <c r="G1240" s="1"/>
      <c r="J1240" s="34"/>
    </row>
    <row r="1241" spans="1:10">
      <c r="A1241" s="1"/>
      <c r="B1241" s="204"/>
      <c r="C1241" s="1"/>
      <c r="D1241" s="1"/>
      <c r="E1241" s="1"/>
      <c r="F1241" s="279"/>
      <c r="G1241" s="1"/>
      <c r="J1241" s="34"/>
    </row>
    <row r="1242" spans="1:10">
      <c r="A1242" s="1"/>
      <c r="B1242" s="204"/>
      <c r="C1242" s="1"/>
      <c r="D1242" s="1"/>
      <c r="E1242" s="1"/>
      <c r="F1242" s="279"/>
      <c r="G1242" s="1"/>
      <c r="J1242" s="34"/>
    </row>
    <row r="1243" spans="1:10">
      <c r="A1243" s="1"/>
      <c r="B1243" s="204"/>
      <c r="C1243" s="1"/>
      <c r="D1243" s="1"/>
      <c r="E1243" s="1"/>
      <c r="F1243" s="279"/>
      <c r="G1243" s="1"/>
      <c r="J1243" s="34"/>
    </row>
    <row r="1244" spans="1:10">
      <c r="A1244" s="1"/>
      <c r="B1244" s="204"/>
      <c r="C1244" s="1"/>
      <c r="D1244" s="1"/>
      <c r="E1244" s="1"/>
      <c r="F1244" s="279"/>
      <c r="G1244" s="1"/>
      <c r="J1244" s="34"/>
    </row>
    <row r="1245" spans="1:10">
      <c r="A1245" s="1"/>
      <c r="B1245" s="204"/>
      <c r="C1245" s="1"/>
      <c r="D1245" s="1"/>
      <c r="E1245" s="1"/>
      <c r="F1245" s="279"/>
      <c r="G1245" s="1"/>
      <c r="J1245" s="34"/>
    </row>
    <row r="1246" spans="1:10">
      <c r="A1246" s="1"/>
      <c r="B1246" s="204"/>
      <c r="C1246" s="1"/>
      <c r="D1246" s="1"/>
      <c r="E1246" s="1"/>
      <c r="F1246" s="279"/>
      <c r="G1246" s="1"/>
      <c r="J1246" s="34"/>
    </row>
    <row r="1247" spans="1:10">
      <c r="A1247" s="1"/>
      <c r="B1247" s="204"/>
      <c r="C1247" s="1"/>
      <c r="D1247" s="1"/>
      <c r="E1247" s="1"/>
      <c r="F1247" s="279"/>
      <c r="G1247" s="1"/>
      <c r="J1247" s="34"/>
    </row>
    <row r="1248" spans="1:10">
      <c r="A1248" s="1"/>
      <c r="B1248" s="204"/>
      <c r="C1248" s="1"/>
      <c r="D1248" s="1"/>
      <c r="E1248" s="1"/>
      <c r="F1248" s="279"/>
      <c r="G1248" s="1"/>
      <c r="J1248" s="34"/>
    </row>
    <row r="1249" spans="1:10">
      <c r="A1249" s="1"/>
      <c r="B1249" s="204"/>
      <c r="C1249" s="1"/>
      <c r="D1249" s="1"/>
      <c r="E1249" s="1"/>
      <c r="F1249" s="279"/>
      <c r="G1249" s="1"/>
      <c r="J1249" s="34"/>
    </row>
    <row r="1250" spans="1:10">
      <c r="A1250" s="1"/>
      <c r="B1250" s="204"/>
      <c r="C1250" s="1"/>
      <c r="D1250" s="1"/>
      <c r="E1250" s="1"/>
      <c r="F1250" s="279"/>
      <c r="G1250" s="1"/>
      <c r="J1250" s="34"/>
    </row>
    <row r="1251" spans="1:10">
      <c r="A1251" s="1"/>
      <c r="B1251" s="204"/>
      <c r="C1251" s="1"/>
      <c r="D1251" s="1"/>
      <c r="E1251" s="1"/>
      <c r="F1251" s="279"/>
      <c r="G1251" s="1"/>
      <c r="J1251" s="34"/>
    </row>
    <row r="1252" spans="1:10">
      <c r="A1252" s="1"/>
      <c r="B1252" s="204"/>
      <c r="C1252" s="1"/>
      <c r="D1252" s="1"/>
      <c r="E1252" s="1"/>
      <c r="F1252" s="279"/>
      <c r="G1252" s="1"/>
      <c r="J1252" s="34"/>
    </row>
    <row r="1253" spans="1:10">
      <c r="A1253" s="1"/>
      <c r="B1253" s="204"/>
      <c r="C1253" s="1"/>
      <c r="D1253" s="1"/>
      <c r="E1253" s="1"/>
      <c r="F1253" s="279"/>
      <c r="G1253" s="1"/>
      <c r="J1253" s="34"/>
    </row>
    <row r="1254" spans="1:10">
      <c r="A1254" s="1"/>
      <c r="B1254" s="204"/>
      <c r="C1254" s="1"/>
      <c r="D1254" s="1"/>
      <c r="E1254" s="1"/>
      <c r="F1254" s="279"/>
      <c r="G1254" s="1"/>
      <c r="J1254" s="34"/>
    </row>
    <row r="1255" spans="1:10">
      <c r="A1255" s="1"/>
      <c r="B1255" s="204"/>
      <c r="C1255" s="1"/>
      <c r="D1255" s="1"/>
      <c r="E1255" s="1"/>
      <c r="F1255" s="279"/>
      <c r="G1255" s="1"/>
      <c r="J1255" s="34"/>
    </row>
    <row r="1256" spans="1:10">
      <c r="A1256" s="1"/>
      <c r="B1256" s="204"/>
      <c r="C1256" s="1"/>
      <c r="D1256" s="1"/>
      <c r="E1256" s="1"/>
      <c r="F1256" s="279"/>
      <c r="G1256" s="1"/>
      <c r="J1256" s="34"/>
    </row>
    <row r="1257" spans="1:10">
      <c r="A1257" s="1"/>
      <c r="B1257" s="204"/>
      <c r="C1257" s="1"/>
      <c r="D1257" s="1"/>
      <c r="E1257" s="1"/>
      <c r="F1257" s="279"/>
      <c r="G1257" s="1"/>
      <c r="J1257" s="34"/>
    </row>
    <row r="1258" spans="1:10">
      <c r="A1258" s="1"/>
      <c r="B1258" s="204"/>
      <c r="C1258" s="1"/>
      <c r="D1258" s="1"/>
      <c r="E1258" s="1"/>
      <c r="F1258" s="279"/>
      <c r="G1258" s="1"/>
      <c r="J1258" s="34"/>
    </row>
    <row r="1259" spans="1:10">
      <c r="A1259" s="1"/>
      <c r="B1259" s="204"/>
      <c r="C1259" s="1"/>
      <c r="D1259" s="1"/>
      <c r="E1259" s="1"/>
      <c r="F1259" s="279"/>
      <c r="G1259" s="1"/>
      <c r="J1259" s="34"/>
    </row>
    <row r="1260" spans="1:10">
      <c r="A1260" s="1"/>
      <c r="B1260" s="204"/>
      <c r="C1260" s="1"/>
      <c r="D1260" s="1"/>
      <c r="E1260" s="1"/>
      <c r="F1260" s="279"/>
      <c r="G1260" s="1"/>
      <c r="J1260" s="34"/>
    </row>
    <row r="1261" spans="1:10">
      <c r="A1261" s="1"/>
      <c r="B1261" s="204"/>
      <c r="C1261" s="1"/>
      <c r="D1261" s="1"/>
      <c r="E1261" s="1"/>
      <c r="F1261" s="279"/>
      <c r="G1261" s="1"/>
      <c r="J1261" s="34"/>
    </row>
    <row r="1262" spans="1:10">
      <c r="A1262" s="1"/>
      <c r="B1262" s="204"/>
      <c r="C1262" s="1"/>
      <c r="D1262" s="1"/>
      <c r="E1262" s="1"/>
      <c r="F1262" s="279"/>
      <c r="G1262" s="1"/>
      <c r="J1262" s="34"/>
    </row>
    <row r="1263" spans="1:10">
      <c r="A1263" s="1"/>
      <c r="B1263" s="204"/>
      <c r="C1263" s="1"/>
      <c r="D1263" s="1"/>
      <c r="E1263" s="1"/>
      <c r="F1263" s="279"/>
      <c r="G1263" s="1"/>
      <c r="J1263" s="34"/>
    </row>
    <row r="1264" spans="1:10">
      <c r="A1264" s="1"/>
      <c r="B1264" s="204"/>
      <c r="C1264" s="1"/>
      <c r="D1264" s="1"/>
      <c r="E1264" s="1"/>
      <c r="F1264" s="279"/>
      <c r="G1264" s="1"/>
      <c r="J1264" s="34"/>
    </row>
    <row r="1265" spans="1:10">
      <c r="A1265" s="1"/>
      <c r="B1265" s="204"/>
      <c r="C1265" s="1"/>
      <c r="D1265" s="1"/>
      <c r="E1265" s="1"/>
      <c r="F1265" s="279"/>
      <c r="G1265" s="1"/>
      <c r="J1265" s="34"/>
    </row>
    <row r="1266" spans="1:10">
      <c r="A1266" s="1"/>
      <c r="B1266" s="204"/>
      <c r="C1266" s="1"/>
      <c r="D1266" s="1"/>
      <c r="E1266" s="1"/>
      <c r="F1266" s="279"/>
      <c r="G1266" s="1"/>
      <c r="J1266" s="34"/>
    </row>
    <row r="1267" spans="1:10">
      <c r="A1267" s="1"/>
      <c r="B1267" s="204"/>
      <c r="C1267" s="1"/>
      <c r="D1267" s="1"/>
      <c r="E1267" s="1"/>
      <c r="F1267" s="279"/>
      <c r="G1267" s="1"/>
      <c r="J1267" s="34"/>
    </row>
    <row r="1268" spans="1:10">
      <c r="A1268" s="1"/>
      <c r="B1268" s="204"/>
      <c r="C1268" s="1"/>
      <c r="D1268" s="1"/>
      <c r="E1268" s="1"/>
      <c r="F1268" s="279"/>
      <c r="G1268" s="1"/>
      <c r="J1268" s="34"/>
    </row>
    <row r="1269" spans="1:10">
      <c r="A1269" s="1"/>
      <c r="B1269" s="204"/>
      <c r="C1269" s="1"/>
      <c r="D1269" s="1"/>
      <c r="E1269" s="1"/>
      <c r="F1269" s="279"/>
      <c r="G1269" s="1"/>
      <c r="J1269" s="34"/>
    </row>
    <row r="1270" spans="1:10">
      <c r="A1270" s="1"/>
      <c r="B1270" s="204"/>
      <c r="C1270" s="1"/>
      <c r="D1270" s="1"/>
      <c r="E1270" s="1"/>
      <c r="F1270" s="279"/>
      <c r="G1270" s="1"/>
      <c r="J1270" s="34"/>
    </row>
    <row r="1271" spans="1:10">
      <c r="A1271" s="1"/>
      <c r="B1271" s="204"/>
      <c r="C1271" s="1"/>
      <c r="D1271" s="1"/>
      <c r="E1271" s="1"/>
      <c r="F1271" s="279"/>
      <c r="G1271" s="1"/>
      <c r="J1271" s="34"/>
    </row>
    <row r="1272" spans="1:10">
      <c r="A1272" s="1"/>
      <c r="B1272" s="204"/>
      <c r="C1272" s="1"/>
      <c r="D1272" s="1"/>
      <c r="E1272" s="1"/>
      <c r="F1272" s="279"/>
      <c r="G1272" s="1"/>
      <c r="J1272" s="34"/>
    </row>
    <row r="1273" spans="1:10">
      <c r="A1273" s="1"/>
      <c r="B1273" s="204"/>
      <c r="C1273" s="1"/>
      <c r="D1273" s="1"/>
      <c r="E1273" s="1"/>
      <c r="F1273" s="279"/>
      <c r="G1273" s="1"/>
      <c r="J1273" s="34"/>
    </row>
    <row r="1274" spans="1:10">
      <c r="A1274" s="1"/>
      <c r="B1274" s="204"/>
      <c r="C1274" s="1"/>
      <c r="D1274" s="1"/>
      <c r="E1274" s="1"/>
      <c r="F1274" s="279"/>
      <c r="G1274" s="1"/>
      <c r="J1274" s="34"/>
    </row>
    <row r="1275" spans="1:10">
      <c r="A1275" s="1"/>
      <c r="B1275" s="204"/>
      <c r="C1275" s="1"/>
      <c r="D1275" s="1"/>
      <c r="E1275" s="1"/>
      <c r="F1275" s="279"/>
      <c r="G1275" s="1"/>
      <c r="J1275" s="34"/>
    </row>
    <row r="1276" spans="1:10">
      <c r="A1276" s="1"/>
      <c r="B1276" s="204"/>
      <c r="C1276" s="1"/>
      <c r="D1276" s="1"/>
      <c r="E1276" s="1"/>
      <c r="F1276" s="279"/>
      <c r="G1276" s="1"/>
      <c r="J1276" s="34"/>
    </row>
    <row r="1277" spans="1:10">
      <c r="A1277" s="1"/>
      <c r="B1277" s="204"/>
      <c r="C1277" s="1"/>
      <c r="D1277" s="1"/>
      <c r="E1277" s="1"/>
      <c r="F1277" s="279"/>
      <c r="G1277" s="1"/>
      <c r="J1277" s="34"/>
    </row>
    <row r="1278" spans="1:10">
      <c r="A1278" s="1"/>
      <c r="B1278" s="204"/>
      <c r="C1278" s="1"/>
      <c r="D1278" s="1"/>
      <c r="E1278" s="1"/>
      <c r="F1278" s="279"/>
      <c r="G1278" s="1"/>
      <c r="J1278" s="34"/>
    </row>
    <row r="1279" spans="1:10">
      <c r="A1279" s="1"/>
      <c r="B1279" s="204"/>
      <c r="C1279" s="1"/>
      <c r="D1279" s="1"/>
      <c r="E1279" s="1"/>
      <c r="F1279" s="279"/>
      <c r="G1279" s="1"/>
      <c r="J1279" s="34"/>
    </row>
    <row r="1280" spans="1:10">
      <c r="A1280" s="1"/>
      <c r="B1280" s="204"/>
      <c r="C1280" s="1"/>
      <c r="D1280" s="1"/>
      <c r="E1280" s="1"/>
      <c r="F1280" s="279"/>
      <c r="G1280" s="1"/>
      <c r="J1280" s="34"/>
    </row>
    <row r="1281" spans="1:10">
      <c r="A1281" s="1"/>
      <c r="B1281" s="204"/>
      <c r="C1281" s="1"/>
      <c r="D1281" s="1"/>
      <c r="E1281" s="1"/>
      <c r="F1281" s="279"/>
      <c r="G1281" s="1"/>
      <c r="J1281" s="34"/>
    </row>
    <row r="1282" spans="1:10">
      <c r="A1282" s="1"/>
      <c r="B1282" s="204"/>
      <c r="C1282" s="1"/>
      <c r="D1282" s="1"/>
      <c r="E1282" s="1"/>
      <c r="F1282" s="279"/>
      <c r="G1282" s="1"/>
      <c r="J1282" s="34"/>
    </row>
    <row r="1283" spans="1:10">
      <c r="A1283" s="1"/>
      <c r="B1283" s="204"/>
      <c r="C1283" s="1"/>
      <c r="D1283" s="1"/>
      <c r="E1283" s="1"/>
      <c r="F1283" s="279"/>
      <c r="G1283" s="1"/>
      <c r="J1283" s="34"/>
    </row>
    <row r="1284" spans="1:10">
      <c r="A1284" s="1"/>
      <c r="B1284" s="204"/>
      <c r="C1284" s="1"/>
      <c r="D1284" s="1"/>
      <c r="E1284" s="1"/>
      <c r="F1284" s="279"/>
      <c r="G1284" s="1"/>
      <c r="J1284" s="34"/>
    </row>
    <row r="1285" spans="1:10">
      <c r="A1285" s="1"/>
      <c r="B1285" s="204"/>
      <c r="C1285" s="1"/>
      <c r="D1285" s="1"/>
      <c r="E1285" s="1"/>
      <c r="F1285" s="279"/>
      <c r="G1285" s="1"/>
      <c r="J1285" s="34"/>
    </row>
    <row r="1286" spans="1:10">
      <c r="A1286" s="1"/>
      <c r="B1286" s="204"/>
      <c r="C1286" s="1"/>
      <c r="D1286" s="1"/>
      <c r="E1286" s="1"/>
      <c r="F1286" s="279"/>
      <c r="G1286" s="1"/>
      <c r="J1286" s="34"/>
    </row>
    <row r="1287" spans="1:10">
      <c r="A1287" s="1"/>
      <c r="B1287" s="204"/>
      <c r="C1287" s="1"/>
      <c r="D1287" s="1"/>
      <c r="E1287" s="1"/>
      <c r="F1287" s="279"/>
      <c r="G1287" s="1"/>
      <c r="J1287" s="34"/>
    </row>
    <row r="1288" spans="1:10">
      <c r="A1288" s="1"/>
      <c r="B1288" s="204"/>
      <c r="C1288" s="1"/>
      <c r="D1288" s="1"/>
      <c r="E1288" s="1"/>
      <c r="F1288" s="279"/>
      <c r="G1288" s="1"/>
      <c r="J1288" s="34"/>
    </row>
    <row r="1289" spans="1:10">
      <c r="A1289" s="1"/>
      <c r="B1289" s="204"/>
      <c r="C1289" s="1"/>
      <c r="D1289" s="1"/>
      <c r="E1289" s="1"/>
      <c r="F1289" s="279"/>
      <c r="G1289" s="1"/>
      <c r="J1289" s="34"/>
    </row>
    <row r="1290" spans="1:10">
      <c r="A1290" s="1"/>
      <c r="B1290" s="204"/>
      <c r="C1290" s="1"/>
      <c r="D1290" s="1"/>
      <c r="E1290" s="1"/>
      <c r="F1290" s="279"/>
      <c r="G1290" s="1"/>
      <c r="J1290" s="34"/>
    </row>
    <row r="1291" spans="1:10">
      <c r="A1291" s="1"/>
      <c r="B1291" s="204"/>
      <c r="C1291" s="1"/>
      <c r="D1291" s="1"/>
      <c r="E1291" s="1"/>
      <c r="F1291" s="279"/>
      <c r="G1291" s="1"/>
      <c r="J1291" s="34"/>
    </row>
    <row r="1292" spans="1:10">
      <c r="A1292" s="1"/>
      <c r="B1292" s="204"/>
      <c r="C1292" s="1"/>
      <c r="D1292" s="1"/>
      <c r="E1292" s="1"/>
      <c r="F1292" s="279"/>
      <c r="G1292" s="1"/>
      <c r="J1292" s="34"/>
    </row>
    <row r="1293" spans="1:10">
      <c r="A1293" s="1"/>
      <c r="B1293" s="204"/>
      <c r="C1293" s="1"/>
      <c r="D1293" s="1"/>
      <c r="E1293" s="1"/>
      <c r="F1293" s="279"/>
      <c r="G1293" s="1"/>
      <c r="J1293" s="34"/>
    </row>
    <row r="1294" spans="1:10">
      <c r="A1294" s="1"/>
      <c r="B1294" s="204"/>
      <c r="C1294" s="1"/>
      <c r="D1294" s="1"/>
      <c r="E1294" s="1"/>
      <c r="F1294" s="279"/>
      <c r="G1294" s="1"/>
      <c r="J1294" s="34"/>
    </row>
    <row r="1295" spans="1:10">
      <c r="A1295" s="1"/>
      <c r="B1295" s="204"/>
      <c r="C1295" s="1"/>
      <c r="D1295" s="1"/>
      <c r="E1295" s="1"/>
      <c r="F1295" s="279"/>
      <c r="G1295" s="1"/>
      <c r="J1295" s="34"/>
    </row>
    <row r="1296" spans="1:10">
      <c r="A1296" s="1"/>
      <c r="B1296" s="204"/>
      <c r="C1296" s="1"/>
      <c r="D1296" s="1"/>
      <c r="E1296" s="1"/>
      <c r="F1296" s="279"/>
      <c r="G1296" s="1"/>
      <c r="J1296" s="34"/>
    </row>
    <row r="1297" spans="1:10">
      <c r="A1297" s="1"/>
      <c r="B1297" s="204"/>
      <c r="C1297" s="1"/>
      <c r="D1297" s="1"/>
      <c r="E1297" s="1"/>
      <c r="F1297" s="279"/>
      <c r="G1297" s="1"/>
      <c r="J1297" s="34"/>
    </row>
    <row r="1298" spans="1:10">
      <c r="A1298" s="1"/>
      <c r="B1298" s="204"/>
      <c r="C1298" s="1"/>
      <c r="D1298" s="1"/>
      <c r="E1298" s="1"/>
      <c r="F1298" s="279"/>
      <c r="G1298" s="1"/>
      <c r="J1298" s="34"/>
    </row>
    <row r="1299" spans="1:10">
      <c r="A1299" s="1"/>
      <c r="B1299" s="204"/>
      <c r="C1299" s="1"/>
      <c r="D1299" s="1"/>
      <c r="E1299" s="1"/>
      <c r="F1299" s="279"/>
      <c r="G1299" s="1"/>
      <c r="J1299" s="34"/>
    </row>
    <row r="1300" spans="1:10">
      <c r="A1300" s="1"/>
      <c r="B1300" s="204"/>
      <c r="C1300" s="1"/>
      <c r="D1300" s="1"/>
      <c r="E1300" s="1"/>
      <c r="F1300" s="279"/>
      <c r="G1300" s="1"/>
      <c r="J1300" s="34"/>
    </row>
    <row r="1301" spans="1:10">
      <c r="A1301" s="1"/>
      <c r="B1301" s="204"/>
      <c r="C1301" s="1"/>
      <c r="D1301" s="1"/>
      <c r="E1301" s="1"/>
      <c r="F1301" s="279"/>
      <c r="G1301" s="1"/>
      <c r="J1301" s="34"/>
    </row>
    <row r="1302" spans="1:10">
      <c r="A1302" s="1"/>
      <c r="B1302" s="204"/>
      <c r="C1302" s="1"/>
      <c r="D1302" s="1"/>
      <c r="E1302" s="1"/>
      <c r="F1302" s="279"/>
      <c r="G1302" s="1"/>
      <c r="J1302" s="34"/>
    </row>
    <row r="1303" spans="1:10">
      <c r="A1303" s="1"/>
      <c r="B1303" s="204"/>
      <c r="C1303" s="1"/>
      <c r="D1303" s="1"/>
      <c r="E1303" s="1"/>
      <c r="F1303" s="279"/>
      <c r="G1303" s="1"/>
      <c r="J1303" s="34"/>
    </row>
    <row r="1304" spans="1:10">
      <c r="A1304" s="1"/>
      <c r="B1304" s="204"/>
      <c r="C1304" s="1"/>
      <c r="D1304" s="1"/>
      <c r="E1304" s="1"/>
      <c r="F1304" s="279"/>
      <c r="G1304" s="1"/>
      <c r="J1304" s="34"/>
    </row>
    <row r="1305" spans="1:10">
      <c r="A1305" s="1"/>
      <c r="B1305" s="204"/>
      <c r="C1305" s="1"/>
      <c r="D1305" s="1"/>
      <c r="E1305" s="1"/>
      <c r="F1305" s="279"/>
      <c r="G1305" s="1"/>
      <c r="J1305" s="34"/>
    </row>
    <row r="1306" spans="1:10">
      <c r="A1306" s="1"/>
      <c r="B1306" s="204"/>
      <c r="C1306" s="1"/>
      <c r="D1306" s="1"/>
      <c r="E1306" s="1"/>
      <c r="F1306" s="279"/>
      <c r="G1306" s="1"/>
      <c r="J1306" s="34"/>
    </row>
    <row r="1307" spans="1:10">
      <c r="A1307" s="1"/>
      <c r="B1307" s="204"/>
      <c r="C1307" s="1"/>
      <c r="D1307" s="1"/>
      <c r="E1307" s="1"/>
      <c r="F1307" s="279"/>
      <c r="G1307" s="1"/>
      <c r="J1307" s="34"/>
    </row>
    <row r="1308" spans="1:10">
      <c r="A1308" s="1"/>
      <c r="B1308" s="204"/>
      <c r="C1308" s="1"/>
      <c r="D1308" s="1"/>
      <c r="E1308" s="1"/>
      <c r="F1308" s="279"/>
      <c r="G1308" s="1"/>
      <c r="J1308" s="34"/>
    </row>
    <row r="1309" spans="1:10">
      <c r="A1309" s="1"/>
      <c r="B1309" s="204"/>
      <c r="C1309" s="1"/>
      <c r="D1309" s="1"/>
      <c r="E1309" s="1"/>
      <c r="F1309" s="279"/>
      <c r="G1309" s="1"/>
      <c r="J1309" s="34"/>
    </row>
    <row r="1310" spans="1:10">
      <c r="A1310" s="1"/>
      <c r="B1310" s="204"/>
      <c r="C1310" s="1"/>
      <c r="D1310" s="1"/>
      <c r="E1310" s="1"/>
      <c r="F1310" s="279"/>
      <c r="G1310" s="1"/>
      <c r="J1310" s="34"/>
    </row>
    <row r="1311" spans="1:10">
      <c r="A1311" s="1"/>
      <c r="B1311" s="204"/>
      <c r="C1311" s="1"/>
      <c r="D1311" s="1"/>
      <c r="E1311" s="1"/>
      <c r="F1311" s="279"/>
      <c r="G1311" s="1"/>
      <c r="J1311" s="34"/>
    </row>
    <row r="1312" spans="1:10">
      <c r="A1312" s="1"/>
      <c r="B1312" s="204"/>
      <c r="C1312" s="1"/>
      <c r="D1312" s="1"/>
      <c r="E1312" s="1"/>
      <c r="F1312" s="279"/>
      <c r="G1312" s="1"/>
      <c r="J1312" s="34"/>
    </row>
    <row r="1313" spans="1:10">
      <c r="A1313" s="1"/>
      <c r="B1313" s="204"/>
      <c r="C1313" s="1"/>
      <c r="D1313" s="1"/>
      <c r="E1313" s="1"/>
      <c r="F1313" s="279"/>
      <c r="G1313" s="1"/>
      <c r="J1313" s="34"/>
    </row>
    <row r="1314" spans="1:10">
      <c r="A1314" s="1"/>
      <c r="B1314" s="204"/>
      <c r="C1314" s="1"/>
      <c r="D1314" s="1"/>
      <c r="E1314" s="1"/>
      <c r="F1314" s="279"/>
      <c r="G1314" s="1"/>
      <c r="J1314" s="34"/>
    </row>
    <row r="1315" spans="1:10">
      <c r="A1315" s="1"/>
      <c r="B1315" s="204"/>
      <c r="C1315" s="1"/>
      <c r="D1315" s="1"/>
      <c r="E1315" s="1"/>
      <c r="F1315" s="279"/>
      <c r="G1315" s="1"/>
      <c r="J1315" s="34"/>
    </row>
    <row r="1316" spans="1:10">
      <c r="A1316" s="1"/>
      <c r="B1316" s="204"/>
      <c r="C1316" s="1"/>
      <c r="D1316" s="1"/>
      <c r="E1316" s="1"/>
      <c r="F1316" s="279"/>
      <c r="G1316" s="1"/>
      <c r="J1316" s="34"/>
    </row>
    <row r="1317" spans="1:10">
      <c r="A1317" s="1"/>
      <c r="B1317" s="204"/>
      <c r="C1317" s="1"/>
      <c r="D1317" s="1"/>
      <c r="E1317" s="1"/>
      <c r="F1317" s="279"/>
      <c r="G1317" s="1"/>
      <c r="J1317" s="34"/>
    </row>
    <row r="1318" spans="1:10">
      <c r="A1318" s="1"/>
      <c r="B1318" s="204"/>
      <c r="C1318" s="1"/>
      <c r="D1318" s="1"/>
      <c r="E1318" s="1"/>
      <c r="F1318" s="279"/>
      <c r="G1318" s="1"/>
      <c r="J1318" s="34"/>
    </row>
    <row r="1319" spans="1:10">
      <c r="A1319" s="1"/>
      <c r="B1319" s="204"/>
      <c r="C1319" s="1"/>
      <c r="D1319" s="1"/>
      <c r="E1319" s="1"/>
      <c r="F1319" s="279"/>
      <c r="G1319" s="1"/>
      <c r="J1319" s="34"/>
    </row>
    <row r="1320" spans="1:10">
      <c r="A1320" s="1"/>
      <c r="B1320" s="204"/>
      <c r="C1320" s="1"/>
      <c r="D1320" s="1"/>
      <c r="E1320" s="1"/>
      <c r="F1320" s="279"/>
      <c r="G1320" s="1"/>
      <c r="J1320" s="34"/>
    </row>
    <row r="1321" spans="1:10">
      <c r="A1321" s="1"/>
      <c r="B1321" s="204"/>
      <c r="C1321" s="1"/>
      <c r="D1321" s="1"/>
      <c r="E1321" s="1"/>
      <c r="F1321" s="279"/>
      <c r="G1321" s="1"/>
      <c r="J1321" s="34"/>
    </row>
    <row r="1322" spans="1:10">
      <c r="A1322" s="1"/>
      <c r="B1322" s="204"/>
      <c r="C1322" s="1"/>
      <c r="D1322" s="1"/>
      <c r="E1322" s="1"/>
      <c r="F1322" s="279"/>
      <c r="G1322" s="1"/>
      <c r="J1322" s="34"/>
    </row>
    <row r="1323" spans="1:10">
      <c r="A1323" s="1"/>
      <c r="B1323" s="204"/>
      <c r="C1323" s="1"/>
      <c r="D1323" s="1"/>
      <c r="E1323" s="1"/>
      <c r="F1323" s="279"/>
      <c r="G1323" s="1"/>
      <c r="J1323" s="34"/>
    </row>
    <row r="1324" spans="1:10">
      <c r="A1324" s="1"/>
      <c r="B1324" s="204"/>
      <c r="C1324" s="1"/>
      <c r="D1324" s="1"/>
      <c r="E1324" s="1"/>
      <c r="F1324" s="279"/>
      <c r="G1324" s="1"/>
      <c r="J1324" s="34"/>
    </row>
    <row r="1325" spans="1:10">
      <c r="A1325" s="1"/>
      <c r="B1325" s="204"/>
      <c r="C1325" s="1"/>
      <c r="D1325" s="1"/>
      <c r="E1325" s="1"/>
      <c r="F1325" s="279"/>
      <c r="G1325" s="1"/>
      <c r="J1325" s="34"/>
    </row>
    <row r="1326" spans="1:10">
      <c r="A1326" s="1"/>
      <c r="B1326" s="204"/>
      <c r="C1326" s="1"/>
      <c r="D1326" s="1"/>
      <c r="E1326" s="1"/>
      <c r="F1326" s="279"/>
      <c r="G1326" s="1"/>
      <c r="J1326" s="34"/>
    </row>
    <row r="1327" spans="1:10">
      <c r="A1327" s="1"/>
      <c r="B1327" s="204"/>
      <c r="C1327" s="1"/>
      <c r="D1327" s="1"/>
      <c r="E1327" s="1"/>
      <c r="F1327" s="279"/>
      <c r="G1327" s="1"/>
      <c r="J1327" s="34"/>
    </row>
    <row r="1328" spans="1:10">
      <c r="A1328" s="1"/>
      <c r="B1328" s="204"/>
      <c r="C1328" s="1"/>
      <c r="D1328" s="1"/>
      <c r="E1328" s="1"/>
      <c r="F1328" s="279"/>
      <c r="G1328" s="1"/>
      <c r="J1328" s="34"/>
    </row>
    <row r="1329" spans="1:10">
      <c r="A1329" s="1"/>
      <c r="B1329" s="204"/>
      <c r="C1329" s="1"/>
      <c r="D1329" s="1"/>
      <c r="E1329" s="1"/>
      <c r="F1329" s="279"/>
      <c r="G1329" s="1"/>
      <c r="J1329" s="34"/>
    </row>
    <row r="1330" spans="1:10">
      <c r="A1330" s="1"/>
      <c r="B1330" s="204"/>
      <c r="C1330" s="1"/>
      <c r="D1330" s="1"/>
      <c r="E1330" s="1"/>
      <c r="F1330" s="279"/>
      <c r="G1330" s="1"/>
      <c r="J1330" s="34"/>
    </row>
    <row r="1331" spans="1:10">
      <c r="A1331" s="1"/>
      <c r="B1331" s="204"/>
      <c r="C1331" s="1"/>
      <c r="D1331" s="1"/>
      <c r="E1331" s="1"/>
      <c r="F1331" s="279"/>
      <c r="G1331" s="1"/>
      <c r="J1331" s="34"/>
    </row>
    <row r="1332" spans="1:10">
      <c r="A1332" s="1"/>
      <c r="B1332" s="204"/>
      <c r="C1332" s="1"/>
      <c r="D1332" s="1"/>
      <c r="E1332" s="1"/>
      <c r="F1332" s="279"/>
      <c r="G1332" s="1"/>
      <c r="J1332" s="34"/>
    </row>
    <row r="1333" spans="1:10">
      <c r="A1333" s="1"/>
      <c r="B1333" s="204"/>
      <c r="C1333" s="1"/>
      <c r="D1333" s="1"/>
      <c r="E1333" s="1"/>
      <c r="F1333" s="279"/>
      <c r="G1333" s="1"/>
      <c r="J1333" s="34"/>
    </row>
    <row r="1334" spans="1:10">
      <c r="A1334" s="1"/>
      <c r="B1334" s="204"/>
      <c r="C1334" s="1"/>
      <c r="D1334" s="1"/>
      <c r="E1334" s="1"/>
      <c r="F1334" s="279"/>
      <c r="G1334" s="1"/>
      <c r="J1334" s="34"/>
    </row>
    <row r="1335" spans="1:10">
      <c r="A1335" s="1"/>
      <c r="B1335" s="204"/>
      <c r="C1335" s="1"/>
      <c r="D1335" s="1"/>
      <c r="E1335" s="1"/>
      <c r="F1335" s="279"/>
      <c r="G1335" s="1"/>
      <c r="J1335" s="34"/>
    </row>
    <row r="1336" spans="1:10">
      <c r="A1336" s="1"/>
      <c r="B1336" s="204"/>
      <c r="C1336" s="1"/>
      <c r="D1336" s="1"/>
      <c r="E1336" s="1"/>
      <c r="F1336" s="279"/>
      <c r="G1336" s="1"/>
      <c r="J1336" s="34"/>
    </row>
    <row r="1337" spans="1:10">
      <c r="A1337" s="1"/>
      <c r="B1337" s="204"/>
      <c r="C1337" s="1"/>
      <c r="D1337" s="1"/>
      <c r="E1337" s="1"/>
      <c r="F1337" s="279"/>
      <c r="G1337" s="1"/>
      <c r="J1337" s="34"/>
    </row>
    <row r="1338" spans="1:10">
      <c r="A1338" s="1"/>
      <c r="B1338" s="204"/>
      <c r="C1338" s="1"/>
      <c r="D1338" s="1"/>
      <c r="E1338" s="1"/>
      <c r="F1338" s="279"/>
      <c r="G1338" s="1"/>
      <c r="J1338" s="34"/>
    </row>
    <row r="1339" spans="1:10">
      <c r="A1339" s="1"/>
      <c r="B1339" s="204"/>
      <c r="C1339" s="1"/>
      <c r="D1339" s="1"/>
      <c r="E1339" s="1"/>
      <c r="F1339" s="279"/>
      <c r="G1339" s="1"/>
      <c r="J1339" s="34"/>
    </row>
    <row r="1340" spans="1:10">
      <c r="A1340" s="1"/>
      <c r="B1340" s="204"/>
      <c r="C1340" s="1"/>
      <c r="D1340" s="1"/>
      <c r="E1340" s="1"/>
      <c r="F1340" s="279"/>
      <c r="G1340" s="1"/>
      <c r="J1340" s="34"/>
    </row>
    <row r="1341" spans="1:10">
      <c r="A1341" s="1"/>
      <c r="B1341" s="204"/>
      <c r="C1341" s="1"/>
      <c r="D1341" s="1"/>
      <c r="E1341" s="1"/>
      <c r="F1341" s="279"/>
      <c r="G1341" s="1"/>
      <c r="J1341" s="34"/>
    </row>
    <row r="1342" spans="1:10">
      <c r="A1342" s="1"/>
      <c r="B1342" s="204"/>
      <c r="C1342" s="1"/>
      <c r="D1342" s="1"/>
      <c r="E1342" s="1"/>
      <c r="F1342" s="279"/>
      <c r="G1342" s="1"/>
      <c r="J1342" s="34"/>
    </row>
    <row r="1343" spans="1:10">
      <c r="A1343" s="1"/>
      <c r="B1343" s="204"/>
      <c r="C1343" s="1"/>
      <c r="D1343" s="1"/>
      <c r="E1343" s="1"/>
      <c r="F1343" s="279"/>
      <c r="G1343" s="1"/>
      <c r="J1343" s="34"/>
    </row>
    <row r="1344" spans="1:10">
      <c r="A1344" s="1"/>
      <c r="B1344" s="204"/>
      <c r="C1344" s="1"/>
      <c r="D1344" s="1"/>
      <c r="E1344" s="1"/>
      <c r="F1344" s="279"/>
      <c r="G1344" s="1"/>
      <c r="J1344" s="34"/>
    </row>
    <row r="1345" spans="1:10">
      <c r="A1345" s="1"/>
      <c r="B1345" s="204"/>
      <c r="C1345" s="1"/>
      <c r="D1345" s="1"/>
      <c r="E1345" s="1"/>
      <c r="F1345" s="279"/>
      <c r="G1345" s="1"/>
      <c r="J1345" s="34"/>
    </row>
    <row r="1346" spans="1:10">
      <c r="A1346" s="1"/>
      <c r="B1346" s="204"/>
      <c r="C1346" s="1"/>
      <c r="D1346" s="1"/>
      <c r="E1346" s="1"/>
      <c r="F1346" s="279"/>
      <c r="G1346" s="1"/>
      <c r="J1346" s="34"/>
    </row>
    <row r="1347" spans="1:10">
      <c r="A1347" s="1"/>
      <c r="B1347" s="204"/>
      <c r="C1347" s="1"/>
      <c r="D1347" s="1"/>
      <c r="E1347" s="1"/>
      <c r="F1347" s="279"/>
      <c r="G1347" s="1"/>
      <c r="J1347" s="34"/>
    </row>
    <row r="1348" spans="1:10">
      <c r="A1348" s="1"/>
      <c r="B1348" s="204"/>
      <c r="C1348" s="1"/>
      <c r="D1348" s="1"/>
      <c r="E1348" s="1"/>
      <c r="F1348" s="279"/>
      <c r="G1348" s="1"/>
      <c r="J1348" s="34"/>
    </row>
    <row r="1349" spans="1:10">
      <c r="A1349" s="1"/>
      <c r="B1349" s="204"/>
      <c r="C1349" s="1"/>
      <c r="D1349" s="1"/>
      <c r="E1349" s="1"/>
      <c r="F1349" s="279"/>
      <c r="G1349" s="1"/>
      <c r="J1349" s="34"/>
    </row>
    <row r="1350" spans="1:10">
      <c r="A1350" s="1"/>
      <c r="B1350" s="204"/>
      <c r="C1350" s="1"/>
      <c r="D1350" s="1"/>
      <c r="E1350" s="1"/>
      <c r="F1350" s="279"/>
      <c r="G1350" s="1"/>
      <c r="J1350" s="34"/>
    </row>
    <row r="1351" spans="1:10">
      <c r="A1351" s="1"/>
      <c r="B1351" s="204"/>
      <c r="C1351" s="1"/>
      <c r="D1351" s="1"/>
      <c r="E1351" s="1"/>
      <c r="F1351" s="279"/>
      <c r="G1351" s="1"/>
      <c r="J1351" s="34"/>
    </row>
    <row r="1352" spans="1:10">
      <c r="A1352" s="1"/>
      <c r="B1352" s="204"/>
      <c r="C1352" s="1"/>
      <c r="D1352" s="1"/>
      <c r="E1352" s="1"/>
      <c r="F1352" s="279"/>
      <c r="G1352" s="1"/>
      <c r="J1352" s="34"/>
    </row>
    <row r="1353" spans="1:10">
      <c r="A1353" s="1"/>
      <c r="B1353" s="204"/>
      <c r="C1353" s="1"/>
      <c r="D1353" s="1"/>
      <c r="E1353" s="1"/>
      <c r="F1353" s="279"/>
      <c r="G1353" s="1"/>
      <c r="J1353" s="34"/>
    </row>
    <row r="1354" spans="1:10">
      <c r="A1354" s="1"/>
      <c r="B1354" s="204"/>
      <c r="C1354" s="1"/>
      <c r="D1354" s="1"/>
      <c r="E1354" s="1"/>
      <c r="F1354" s="279"/>
      <c r="G1354" s="1"/>
      <c r="J1354" s="34"/>
    </row>
    <row r="1355" spans="1:10">
      <c r="A1355" s="1"/>
      <c r="B1355" s="204"/>
      <c r="C1355" s="1"/>
      <c r="D1355" s="1"/>
      <c r="E1355" s="1"/>
      <c r="F1355" s="279"/>
      <c r="G1355" s="1"/>
      <c r="J1355" s="34"/>
    </row>
    <row r="1356" spans="1:10">
      <c r="A1356" s="1"/>
      <c r="B1356" s="204"/>
      <c r="C1356" s="1"/>
      <c r="D1356" s="1"/>
      <c r="E1356" s="1"/>
      <c r="F1356" s="279"/>
      <c r="G1356" s="1"/>
      <c r="J1356" s="34"/>
    </row>
    <row r="1357" spans="1:10">
      <c r="A1357" s="1"/>
      <c r="B1357" s="204"/>
      <c r="C1357" s="1"/>
      <c r="D1357" s="1"/>
      <c r="E1357" s="1"/>
      <c r="F1357" s="279"/>
      <c r="G1357" s="1"/>
      <c r="J1357" s="34"/>
    </row>
    <row r="1358" spans="1:10">
      <c r="A1358" s="1"/>
      <c r="B1358" s="204"/>
      <c r="C1358" s="1"/>
      <c r="D1358" s="1"/>
      <c r="E1358" s="1"/>
      <c r="F1358" s="279"/>
      <c r="G1358" s="1"/>
      <c r="J1358" s="34"/>
    </row>
    <row r="1359" spans="1:10">
      <c r="A1359" s="1"/>
      <c r="B1359" s="204"/>
      <c r="C1359" s="1"/>
      <c r="D1359" s="1"/>
      <c r="E1359" s="1"/>
      <c r="F1359" s="279"/>
      <c r="G1359" s="1"/>
      <c r="J1359" s="34"/>
    </row>
    <row r="1360" spans="1:10">
      <c r="A1360" s="1"/>
      <c r="B1360" s="204"/>
      <c r="C1360" s="1"/>
      <c r="D1360" s="1"/>
      <c r="E1360" s="1"/>
      <c r="F1360" s="279"/>
      <c r="G1360" s="1"/>
      <c r="J1360" s="34"/>
    </row>
    <row r="1361" spans="1:10">
      <c r="A1361" s="1"/>
      <c r="B1361" s="204"/>
      <c r="C1361" s="1"/>
      <c r="D1361" s="1"/>
      <c r="E1361" s="1"/>
      <c r="F1361" s="279"/>
      <c r="G1361" s="1"/>
      <c r="J1361" s="34"/>
    </row>
    <row r="1362" spans="1:10">
      <c r="A1362" s="1"/>
      <c r="B1362" s="204"/>
      <c r="C1362" s="1"/>
      <c r="D1362" s="1"/>
      <c r="E1362" s="1"/>
      <c r="F1362" s="279"/>
      <c r="G1362" s="1"/>
      <c r="J1362" s="34"/>
    </row>
    <row r="1363" spans="1:10">
      <c r="A1363" s="1"/>
      <c r="B1363" s="204"/>
      <c r="C1363" s="1"/>
      <c r="D1363" s="1"/>
      <c r="E1363" s="1"/>
      <c r="F1363" s="279"/>
      <c r="G1363" s="1"/>
      <c r="J1363" s="34"/>
    </row>
    <row r="1364" spans="1:10">
      <c r="A1364" s="1"/>
      <c r="B1364" s="204"/>
      <c r="C1364" s="1"/>
      <c r="D1364" s="1"/>
      <c r="E1364" s="1"/>
      <c r="F1364" s="279"/>
      <c r="G1364" s="1"/>
      <c r="J1364" s="34"/>
    </row>
    <row r="1365" spans="1:10">
      <c r="A1365" s="1"/>
      <c r="B1365" s="204"/>
      <c r="C1365" s="1"/>
      <c r="D1365" s="1"/>
      <c r="E1365" s="1"/>
      <c r="F1365" s="279"/>
      <c r="G1365" s="1"/>
      <c r="J1365" s="34"/>
    </row>
    <row r="1366" spans="1:10">
      <c r="A1366" s="1"/>
      <c r="B1366" s="204"/>
      <c r="C1366" s="1"/>
      <c r="D1366" s="1"/>
      <c r="E1366" s="1"/>
      <c r="F1366" s="279"/>
      <c r="G1366" s="1"/>
      <c r="J1366" s="34"/>
    </row>
    <row r="1367" spans="1:10">
      <c r="A1367" s="1"/>
      <c r="B1367" s="204"/>
      <c r="C1367" s="1"/>
      <c r="D1367" s="1"/>
      <c r="E1367" s="1"/>
      <c r="F1367" s="279"/>
      <c r="G1367" s="1"/>
      <c r="J1367" s="34"/>
    </row>
    <row r="1368" spans="1:10">
      <c r="A1368" s="1"/>
      <c r="B1368" s="204"/>
      <c r="C1368" s="1"/>
      <c r="D1368" s="1"/>
      <c r="E1368" s="1"/>
      <c r="F1368" s="279"/>
      <c r="G1368" s="1"/>
      <c r="J1368" s="34"/>
    </row>
    <row r="1369" spans="1:10">
      <c r="A1369" s="1"/>
      <c r="B1369" s="204"/>
      <c r="C1369" s="1"/>
      <c r="D1369" s="1"/>
      <c r="E1369" s="1"/>
      <c r="F1369" s="279"/>
      <c r="G1369" s="1"/>
      <c r="J1369" s="34"/>
    </row>
    <row r="1370" spans="1:10">
      <c r="A1370" s="1"/>
      <c r="B1370" s="204"/>
      <c r="C1370" s="1"/>
      <c r="D1370" s="1"/>
      <c r="E1370" s="1"/>
      <c r="F1370" s="279"/>
      <c r="G1370" s="1"/>
      <c r="J1370" s="34"/>
    </row>
    <row r="1371" spans="1:10">
      <c r="A1371" s="1"/>
      <c r="B1371" s="204"/>
      <c r="C1371" s="1"/>
      <c r="D1371" s="1"/>
      <c r="E1371" s="1"/>
      <c r="F1371" s="279"/>
      <c r="G1371" s="1"/>
      <c r="J1371" s="34"/>
    </row>
    <row r="1372" spans="1:10">
      <c r="A1372" s="1"/>
      <c r="B1372" s="204"/>
      <c r="C1372" s="1"/>
      <c r="D1372" s="1"/>
      <c r="E1372" s="1"/>
      <c r="F1372" s="279"/>
      <c r="G1372" s="1"/>
      <c r="J1372" s="34"/>
    </row>
    <row r="1373" spans="1:10">
      <c r="A1373" s="1"/>
      <c r="B1373" s="204"/>
      <c r="C1373" s="1"/>
      <c r="D1373" s="1"/>
      <c r="E1373" s="1"/>
      <c r="F1373" s="279"/>
      <c r="G1373" s="1"/>
      <c r="J1373" s="34"/>
    </row>
    <row r="1374" spans="1:10">
      <c r="A1374" s="1"/>
      <c r="B1374" s="204"/>
      <c r="C1374" s="1"/>
      <c r="D1374" s="1"/>
      <c r="E1374" s="1"/>
      <c r="F1374" s="279"/>
      <c r="G1374" s="1"/>
      <c r="J1374" s="34"/>
    </row>
    <row r="1375" spans="1:10">
      <c r="A1375" s="1"/>
      <c r="B1375" s="204"/>
      <c r="C1375" s="1"/>
      <c r="D1375" s="1"/>
      <c r="E1375" s="1"/>
      <c r="F1375" s="279"/>
      <c r="G1375" s="1"/>
      <c r="J1375" s="34"/>
    </row>
    <row r="1376" spans="1:10">
      <c r="A1376" s="1"/>
      <c r="B1376" s="204"/>
      <c r="C1376" s="1"/>
      <c r="D1376" s="1"/>
      <c r="E1376" s="1"/>
      <c r="F1376" s="279"/>
      <c r="G1376" s="1"/>
      <c r="J1376" s="34"/>
    </row>
    <row r="1377" spans="1:10">
      <c r="A1377" s="1"/>
      <c r="B1377" s="204"/>
      <c r="C1377" s="1"/>
      <c r="D1377" s="1"/>
      <c r="E1377" s="1"/>
      <c r="F1377" s="279"/>
      <c r="G1377" s="1"/>
      <c r="J1377" s="34"/>
    </row>
    <row r="1378" spans="1:10">
      <c r="A1378" s="1"/>
      <c r="B1378" s="204"/>
      <c r="C1378" s="1"/>
      <c r="D1378" s="1"/>
      <c r="E1378" s="1"/>
      <c r="F1378" s="279"/>
      <c r="G1378" s="1"/>
      <c r="J1378" s="34"/>
    </row>
    <row r="1379" spans="1:10">
      <c r="A1379" s="1"/>
      <c r="B1379" s="204"/>
      <c r="C1379" s="1"/>
      <c r="D1379" s="1"/>
      <c r="E1379" s="1"/>
      <c r="F1379" s="279"/>
      <c r="G1379" s="1"/>
      <c r="J1379" s="34"/>
    </row>
    <row r="1380" spans="1:10">
      <c r="A1380" s="1"/>
      <c r="B1380" s="204"/>
      <c r="C1380" s="1"/>
      <c r="D1380" s="1"/>
      <c r="E1380" s="1"/>
      <c r="F1380" s="279"/>
      <c r="G1380" s="1"/>
      <c r="J1380" s="34"/>
    </row>
    <row r="1381" spans="1:10">
      <c r="A1381" s="1"/>
      <c r="B1381" s="204"/>
      <c r="C1381" s="1"/>
      <c r="D1381" s="1"/>
      <c r="E1381" s="1"/>
      <c r="F1381" s="279"/>
      <c r="G1381" s="1"/>
      <c r="J1381" s="34"/>
    </row>
    <row r="1382" spans="1:10">
      <c r="A1382" s="1"/>
      <c r="B1382" s="204"/>
      <c r="C1382" s="1"/>
      <c r="D1382" s="1"/>
      <c r="E1382" s="1"/>
      <c r="F1382" s="279"/>
      <c r="G1382" s="1"/>
      <c r="J1382" s="34"/>
    </row>
    <row r="1383" spans="1:10">
      <c r="A1383" s="1"/>
      <c r="B1383" s="204"/>
      <c r="C1383" s="1"/>
      <c r="D1383" s="1"/>
      <c r="E1383" s="1"/>
      <c r="F1383" s="279"/>
      <c r="G1383" s="1"/>
      <c r="J1383" s="34"/>
    </row>
    <row r="1384" spans="1:10">
      <c r="A1384" s="1"/>
      <c r="B1384" s="204"/>
      <c r="C1384" s="1"/>
      <c r="D1384" s="1"/>
      <c r="E1384" s="1"/>
      <c r="F1384" s="279"/>
      <c r="G1384" s="1"/>
      <c r="J1384" s="34"/>
    </row>
    <row r="1385" spans="1:10">
      <c r="A1385" s="1"/>
      <c r="B1385" s="204"/>
      <c r="C1385" s="1"/>
      <c r="D1385" s="1"/>
      <c r="E1385" s="1"/>
      <c r="F1385" s="279"/>
      <c r="G1385" s="1"/>
      <c r="J1385" s="34"/>
    </row>
    <row r="1386" spans="1:10">
      <c r="A1386" s="1"/>
      <c r="B1386" s="204"/>
      <c r="C1386" s="1"/>
      <c r="D1386" s="1"/>
      <c r="E1386" s="1"/>
      <c r="F1386" s="279"/>
      <c r="G1386" s="1"/>
      <c r="J1386" s="34"/>
    </row>
    <row r="1387" spans="1:10">
      <c r="A1387" s="1"/>
      <c r="B1387" s="204"/>
      <c r="C1387" s="1"/>
      <c r="D1387" s="1"/>
      <c r="E1387" s="1"/>
      <c r="F1387" s="279"/>
      <c r="G1387" s="1"/>
      <c r="J1387" s="34"/>
    </row>
    <row r="1388" spans="1:10">
      <c r="A1388" s="1"/>
      <c r="B1388" s="204"/>
      <c r="C1388" s="1"/>
      <c r="D1388" s="1"/>
      <c r="E1388" s="1"/>
      <c r="F1388" s="279"/>
      <c r="G1388" s="1"/>
      <c r="J1388" s="34"/>
    </row>
    <row r="1389" spans="1:10">
      <c r="A1389" s="1"/>
      <c r="B1389" s="204"/>
      <c r="C1389" s="1"/>
      <c r="D1389" s="1"/>
      <c r="E1389" s="1"/>
      <c r="F1389" s="279"/>
      <c r="G1389" s="1"/>
      <c r="J1389" s="34"/>
    </row>
    <row r="1390" spans="1:10">
      <c r="A1390" s="1"/>
      <c r="B1390" s="204"/>
      <c r="C1390" s="1"/>
      <c r="D1390" s="1"/>
      <c r="E1390" s="1"/>
      <c r="F1390" s="279"/>
      <c r="G1390" s="1"/>
      <c r="J1390" s="34"/>
    </row>
    <row r="1391" spans="1:10">
      <c r="A1391" s="1"/>
      <c r="B1391" s="204"/>
      <c r="C1391" s="1"/>
      <c r="D1391" s="1"/>
      <c r="E1391" s="1"/>
      <c r="F1391" s="279"/>
      <c r="G1391" s="1"/>
      <c r="J1391" s="34"/>
    </row>
    <row r="1392" spans="1:10">
      <c r="A1392" s="1"/>
      <c r="B1392" s="204"/>
      <c r="C1392" s="1"/>
      <c r="D1392" s="1"/>
      <c r="E1392" s="1"/>
      <c r="F1392" s="279"/>
      <c r="G1392" s="1"/>
      <c r="J1392" s="34"/>
    </row>
    <row r="1393" spans="1:10">
      <c r="A1393" s="1"/>
      <c r="B1393" s="204"/>
      <c r="C1393" s="1"/>
      <c r="D1393" s="1"/>
      <c r="E1393" s="1"/>
      <c r="F1393" s="279"/>
      <c r="G1393" s="1"/>
      <c r="J1393" s="34"/>
    </row>
    <row r="1394" spans="1:10">
      <c r="A1394" s="1"/>
      <c r="B1394" s="204"/>
      <c r="C1394" s="1"/>
      <c r="D1394" s="1"/>
      <c r="E1394" s="1"/>
      <c r="F1394" s="279"/>
      <c r="G1394" s="1"/>
      <c r="J1394" s="34"/>
    </row>
    <row r="1395" spans="1:10">
      <c r="A1395" s="1"/>
      <c r="B1395" s="204"/>
      <c r="C1395" s="1"/>
      <c r="D1395" s="1"/>
      <c r="E1395" s="1"/>
      <c r="F1395" s="279"/>
      <c r="G1395" s="1"/>
      <c r="J1395" s="34"/>
    </row>
    <row r="1396" spans="1:10">
      <c r="A1396" s="1"/>
      <c r="B1396" s="204"/>
      <c r="C1396" s="1"/>
      <c r="D1396" s="1"/>
      <c r="E1396" s="1"/>
      <c r="F1396" s="279"/>
      <c r="G1396" s="1"/>
      <c r="J1396" s="34"/>
    </row>
    <row r="1397" spans="1:10">
      <c r="A1397" s="1"/>
      <c r="B1397" s="204"/>
      <c r="C1397" s="1"/>
      <c r="D1397" s="1"/>
      <c r="E1397" s="1"/>
      <c r="F1397" s="279"/>
      <c r="G1397" s="1"/>
      <c r="J1397" s="34"/>
    </row>
    <row r="1398" spans="1:10">
      <c r="A1398" s="1"/>
      <c r="B1398" s="204"/>
      <c r="C1398" s="1"/>
      <c r="D1398" s="1"/>
      <c r="E1398" s="1"/>
      <c r="F1398" s="279"/>
      <c r="G1398" s="1"/>
      <c r="J1398" s="34"/>
    </row>
    <row r="1399" spans="1:10">
      <c r="A1399" s="1"/>
      <c r="B1399" s="204"/>
      <c r="C1399" s="1"/>
      <c r="D1399" s="1"/>
      <c r="E1399" s="1"/>
      <c r="F1399" s="279"/>
      <c r="G1399" s="1"/>
      <c r="J1399" s="34"/>
    </row>
    <row r="1400" spans="1:10">
      <c r="A1400" s="1"/>
      <c r="B1400" s="204"/>
      <c r="C1400" s="1"/>
      <c r="D1400" s="1"/>
      <c r="E1400" s="1"/>
      <c r="F1400" s="279"/>
      <c r="G1400" s="1"/>
      <c r="J1400" s="34"/>
    </row>
    <row r="1401" spans="1:10">
      <c r="A1401" s="1"/>
      <c r="B1401" s="204"/>
      <c r="C1401" s="1"/>
      <c r="D1401" s="1"/>
      <c r="E1401" s="1"/>
      <c r="F1401" s="279"/>
      <c r="G1401" s="1"/>
      <c r="J1401" s="34"/>
    </row>
    <row r="1402" spans="1:10">
      <c r="A1402" s="1"/>
      <c r="B1402" s="204"/>
      <c r="C1402" s="1"/>
      <c r="D1402" s="1"/>
      <c r="E1402" s="1"/>
      <c r="F1402" s="279"/>
      <c r="G1402" s="1"/>
      <c r="J1402" s="34"/>
    </row>
    <row r="1403" spans="1:10">
      <c r="A1403" s="1"/>
      <c r="B1403" s="204"/>
      <c r="C1403" s="1"/>
      <c r="D1403" s="1"/>
      <c r="E1403" s="1"/>
      <c r="F1403" s="279"/>
      <c r="G1403" s="1"/>
      <c r="J1403" s="34"/>
    </row>
    <row r="1404" spans="1:10">
      <c r="A1404" s="1"/>
      <c r="B1404" s="204"/>
      <c r="C1404" s="1"/>
      <c r="D1404" s="1"/>
      <c r="E1404" s="1"/>
      <c r="F1404" s="279"/>
      <c r="G1404" s="1"/>
      <c r="J1404" s="34"/>
    </row>
    <row r="1405" spans="1:10">
      <c r="A1405" s="1"/>
      <c r="B1405" s="204"/>
      <c r="C1405" s="1"/>
      <c r="D1405" s="1"/>
      <c r="E1405" s="1"/>
      <c r="F1405" s="279"/>
      <c r="G1405" s="1"/>
      <c r="J1405" s="34"/>
    </row>
    <row r="1406" spans="1:10">
      <c r="A1406" s="1"/>
      <c r="B1406" s="204"/>
      <c r="C1406" s="1"/>
      <c r="D1406" s="1"/>
      <c r="E1406" s="1"/>
      <c r="F1406" s="279"/>
      <c r="G1406" s="1"/>
      <c r="J1406" s="34"/>
    </row>
    <row r="1407" spans="1:10">
      <c r="A1407" s="1"/>
      <c r="B1407" s="204"/>
      <c r="C1407" s="1"/>
      <c r="D1407" s="1"/>
      <c r="E1407" s="1"/>
      <c r="F1407" s="279"/>
      <c r="G1407" s="1"/>
      <c r="J1407" s="34"/>
    </row>
    <row r="1408" spans="1:10">
      <c r="A1408" s="1"/>
      <c r="B1408" s="204"/>
      <c r="C1408" s="1"/>
      <c r="D1408" s="1"/>
      <c r="E1408" s="1"/>
      <c r="F1408" s="279"/>
      <c r="G1408" s="1"/>
      <c r="J1408" s="34"/>
    </row>
    <row r="1409" spans="1:10">
      <c r="A1409" s="1"/>
      <c r="B1409" s="204"/>
      <c r="C1409" s="1"/>
      <c r="D1409" s="1"/>
      <c r="E1409" s="1"/>
      <c r="F1409" s="279"/>
      <c r="G1409" s="1"/>
      <c r="J1409" s="34"/>
    </row>
    <row r="1410" spans="1:10">
      <c r="A1410" s="1"/>
      <c r="B1410" s="204"/>
      <c r="C1410" s="1"/>
      <c r="D1410" s="1"/>
      <c r="E1410" s="1"/>
      <c r="F1410" s="279"/>
      <c r="G1410" s="1"/>
      <c r="J1410" s="34"/>
    </row>
    <row r="1411" spans="1:10">
      <c r="A1411" s="1"/>
      <c r="B1411" s="204"/>
      <c r="C1411" s="1"/>
      <c r="D1411" s="1"/>
      <c r="E1411" s="1"/>
      <c r="F1411" s="279"/>
      <c r="G1411" s="1"/>
      <c r="J1411" s="34"/>
    </row>
    <row r="1412" spans="1:10">
      <c r="A1412" s="1"/>
      <c r="B1412" s="204"/>
      <c r="C1412" s="1"/>
      <c r="D1412" s="1"/>
      <c r="E1412" s="1"/>
      <c r="F1412" s="279"/>
      <c r="G1412" s="1"/>
      <c r="J1412" s="34"/>
    </row>
    <row r="1413" spans="1:10">
      <c r="A1413" s="1"/>
      <c r="B1413" s="204"/>
      <c r="C1413" s="1"/>
      <c r="D1413" s="1"/>
      <c r="E1413" s="1"/>
      <c r="F1413" s="279"/>
      <c r="G1413" s="1"/>
      <c r="J1413" s="34"/>
    </row>
    <row r="1414" spans="1:10">
      <c r="A1414" s="1"/>
      <c r="B1414" s="204"/>
      <c r="C1414" s="1"/>
      <c r="D1414" s="1"/>
      <c r="E1414" s="1"/>
      <c r="F1414" s="279"/>
      <c r="G1414" s="1"/>
      <c r="J1414" s="34"/>
    </row>
    <row r="1415" spans="1:10">
      <c r="A1415" s="1"/>
      <c r="B1415" s="204"/>
      <c r="C1415" s="1"/>
      <c r="D1415" s="1"/>
      <c r="E1415" s="1"/>
      <c r="F1415" s="279"/>
      <c r="G1415" s="1"/>
      <c r="J1415" s="34"/>
    </row>
    <row r="1416" spans="1:10">
      <c r="A1416" s="1"/>
      <c r="B1416" s="204"/>
      <c r="C1416" s="1"/>
      <c r="D1416" s="1"/>
      <c r="E1416" s="1"/>
      <c r="F1416" s="279"/>
      <c r="G1416" s="1"/>
      <c r="J1416" s="34"/>
    </row>
    <row r="1417" spans="1:10">
      <c r="A1417" s="1"/>
      <c r="B1417" s="204"/>
      <c r="C1417" s="1"/>
      <c r="D1417" s="1"/>
      <c r="E1417" s="1"/>
      <c r="F1417" s="279"/>
      <c r="G1417" s="1"/>
      <c r="J1417" s="34"/>
    </row>
    <row r="1418" spans="1:10">
      <c r="A1418" s="1"/>
      <c r="B1418" s="204"/>
      <c r="C1418" s="1"/>
      <c r="D1418" s="1"/>
      <c r="E1418" s="1"/>
      <c r="F1418" s="279"/>
      <c r="G1418" s="1"/>
      <c r="J1418" s="34"/>
    </row>
    <row r="1419" spans="1:10">
      <c r="A1419" s="1"/>
      <c r="B1419" s="204"/>
      <c r="C1419" s="1"/>
      <c r="D1419" s="1"/>
      <c r="E1419" s="1"/>
      <c r="F1419" s="279"/>
      <c r="G1419" s="1"/>
      <c r="J1419" s="34"/>
    </row>
    <row r="1420" spans="1:10">
      <c r="A1420" s="1"/>
      <c r="B1420" s="204"/>
      <c r="C1420" s="1"/>
      <c r="D1420" s="1"/>
      <c r="E1420" s="1"/>
      <c r="F1420" s="279"/>
      <c r="G1420" s="1"/>
      <c r="J1420" s="34"/>
    </row>
    <row r="1421" spans="1:10">
      <c r="A1421" s="1"/>
      <c r="B1421" s="204"/>
      <c r="C1421" s="1"/>
      <c r="D1421" s="1"/>
      <c r="E1421" s="1"/>
      <c r="F1421" s="279"/>
      <c r="G1421" s="1"/>
      <c r="J1421" s="34"/>
    </row>
    <row r="1422" spans="1:10">
      <c r="A1422" s="1"/>
      <c r="B1422" s="204"/>
      <c r="C1422" s="1"/>
      <c r="D1422" s="1"/>
      <c r="E1422" s="1"/>
      <c r="F1422" s="279"/>
      <c r="G1422" s="1"/>
      <c r="J1422" s="34"/>
    </row>
    <row r="1423" spans="1:10">
      <c r="A1423" s="1"/>
      <c r="B1423" s="204"/>
      <c r="C1423" s="1"/>
      <c r="D1423" s="1"/>
      <c r="E1423" s="1"/>
      <c r="F1423" s="279"/>
      <c r="G1423" s="1"/>
      <c r="J1423" s="34"/>
    </row>
    <row r="1424" spans="1:10">
      <c r="A1424" s="1"/>
      <c r="B1424" s="204"/>
      <c r="C1424" s="1"/>
      <c r="D1424" s="1"/>
      <c r="E1424" s="1"/>
      <c r="F1424" s="279"/>
      <c r="G1424" s="1"/>
      <c r="J1424" s="34"/>
    </row>
    <row r="1425" spans="1:10">
      <c r="A1425" s="1"/>
      <c r="B1425" s="204"/>
      <c r="C1425" s="1"/>
      <c r="D1425" s="1"/>
      <c r="E1425" s="1"/>
      <c r="F1425" s="279"/>
      <c r="G1425" s="1"/>
      <c r="J1425" s="34"/>
    </row>
    <row r="1426" spans="1:10">
      <c r="A1426" s="1"/>
      <c r="B1426" s="204"/>
      <c r="C1426" s="1"/>
      <c r="D1426" s="1"/>
      <c r="E1426" s="1"/>
      <c r="F1426" s="279"/>
      <c r="G1426" s="1"/>
      <c r="J1426" s="34"/>
    </row>
    <row r="1427" spans="1:10">
      <c r="A1427" s="1"/>
      <c r="B1427" s="204"/>
      <c r="C1427" s="1"/>
      <c r="D1427" s="1"/>
      <c r="E1427" s="1"/>
      <c r="F1427" s="279"/>
      <c r="G1427" s="1"/>
      <c r="J1427" s="34"/>
    </row>
    <row r="1428" spans="1:10">
      <c r="A1428" s="1"/>
      <c r="B1428" s="204"/>
      <c r="C1428" s="1"/>
      <c r="D1428" s="1"/>
      <c r="E1428" s="1"/>
      <c r="F1428" s="279"/>
      <c r="G1428" s="1"/>
      <c r="J1428" s="34"/>
    </row>
    <row r="1429" spans="1:10">
      <c r="A1429" s="1"/>
      <c r="B1429" s="204"/>
      <c r="C1429" s="1"/>
      <c r="D1429" s="1"/>
      <c r="E1429" s="1"/>
      <c r="F1429" s="279"/>
      <c r="G1429" s="1"/>
      <c r="J1429" s="34"/>
    </row>
    <row r="1430" spans="1:10">
      <c r="A1430" s="1"/>
      <c r="B1430" s="204"/>
      <c r="C1430" s="1"/>
      <c r="D1430" s="1"/>
      <c r="E1430" s="1"/>
      <c r="F1430" s="279"/>
      <c r="G1430" s="1"/>
      <c r="J1430" s="34"/>
    </row>
    <row r="1431" spans="1:10">
      <c r="A1431" s="1"/>
      <c r="B1431" s="204"/>
      <c r="C1431" s="1"/>
      <c r="D1431" s="1"/>
      <c r="E1431" s="1"/>
      <c r="F1431" s="279"/>
      <c r="G1431" s="1"/>
      <c r="J1431" s="34"/>
    </row>
    <row r="1432" spans="1:10">
      <c r="A1432" s="1"/>
      <c r="B1432" s="204"/>
      <c r="C1432" s="1"/>
      <c r="D1432" s="1"/>
      <c r="E1432" s="1"/>
      <c r="F1432" s="279"/>
      <c r="G1432" s="1"/>
      <c r="J1432" s="34"/>
    </row>
    <row r="1433" spans="1:10">
      <c r="A1433" s="1"/>
      <c r="B1433" s="204"/>
      <c r="C1433" s="1"/>
      <c r="D1433" s="1"/>
      <c r="E1433" s="1"/>
      <c r="F1433" s="279"/>
      <c r="G1433" s="1"/>
      <c r="J1433" s="34"/>
    </row>
    <row r="1434" spans="1:10">
      <c r="A1434" s="1"/>
      <c r="B1434" s="204"/>
      <c r="C1434" s="1"/>
      <c r="D1434" s="1"/>
      <c r="E1434" s="1"/>
      <c r="F1434" s="279"/>
      <c r="G1434" s="1"/>
      <c r="J1434" s="34"/>
    </row>
    <row r="1435" spans="1:10">
      <c r="A1435" s="1"/>
      <c r="B1435" s="204"/>
      <c r="C1435" s="1"/>
      <c r="D1435" s="1"/>
      <c r="E1435" s="1"/>
      <c r="F1435" s="279"/>
      <c r="G1435" s="1"/>
      <c r="J1435" s="34"/>
    </row>
    <row r="1436" spans="1:10">
      <c r="A1436" s="1"/>
      <c r="B1436" s="204"/>
      <c r="C1436" s="1"/>
      <c r="D1436" s="1"/>
      <c r="E1436" s="1"/>
      <c r="F1436" s="279"/>
      <c r="G1436" s="1"/>
      <c r="J1436" s="34"/>
    </row>
    <row r="1437" spans="1:10">
      <c r="A1437" s="1"/>
      <c r="B1437" s="204"/>
      <c r="C1437" s="1"/>
      <c r="D1437" s="1"/>
      <c r="E1437" s="1"/>
      <c r="F1437" s="279"/>
      <c r="G1437" s="1"/>
      <c r="J1437" s="34"/>
    </row>
    <row r="1438" spans="1:10">
      <c r="A1438" s="1"/>
      <c r="B1438" s="204"/>
      <c r="C1438" s="1"/>
      <c r="D1438" s="1"/>
      <c r="E1438" s="1"/>
      <c r="F1438" s="279"/>
      <c r="G1438" s="1"/>
      <c r="J1438" s="34"/>
    </row>
    <row r="1439" spans="1:10">
      <c r="A1439" s="1"/>
      <c r="B1439" s="204"/>
      <c r="C1439" s="1"/>
      <c r="D1439" s="1"/>
      <c r="E1439" s="1"/>
      <c r="F1439" s="279"/>
      <c r="G1439" s="1"/>
      <c r="J1439" s="34"/>
    </row>
    <row r="1440" spans="1:10">
      <c r="A1440" s="1"/>
      <c r="B1440" s="204"/>
      <c r="C1440" s="1"/>
      <c r="D1440" s="1"/>
      <c r="E1440" s="1"/>
      <c r="F1440" s="279"/>
      <c r="G1440" s="1"/>
      <c r="J1440" s="34"/>
    </row>
    <row r="1441" spans="1:10">
      <c r="A1441" s="1"/>
      <c r="B1441" s="204"/>
      <c r="C1441" s="1"/>
      <c r="D1441" s="1"/>
      <c r="E1441" s="1"/>
      <c r="F1441" s="279"/>
      <c r="G1441" s="1"/>
      <c r="J1441" s="34"/>
    </row>
    <row r="1442" spans="1:10">
      <c r="A1442" s="1"/>
      <c r="B1442" s="204"/>
      <c r="C1442" s="1"/>
      <c r="D1442" s="1"/>
      <c r="E1442" s="1"/>
      <c r="F1442" s="279"/>
      <c r="G1442" s="1"/>
      <c r="J1442" s="34"/>
    </row>
    <row r="1443" spans="1:10">
      <c r="A1443" s="1"/>
      <c r="B1443" s="204"/>
      <c r="C1443" s="1"/>
      <c r="D1443" s="1"/>
      <c r="E1443" s="1"/>
      <c r="F1443" s="279"/>
      <c r="G1443" s="1"/>
      <c r="J1443" s="34"/>
    </row>
    <row r="1444" spans="1:10">
      <c r="A1444" s="1"/>
      <c r="B1444" s="204"/>
      <c r="C1444" s="1"/>
      <c r="D1444" s="1"/>
      <c r="E1444" s="1"/>
      <c r="F1444" s="279"/>
      <c r="G1444" s="1"/>
      <c r="J1444" s="34"/>
    </row>
    <row r="1445" spans="1:10">
      <c r="A1445" s="1"/>
      <c r="B1445" s="204"/>
      <c r="C1445" s="1"/>
      <c r="D1445" s="1"/>
      <c r="E1445" s="1"/>
      <c r="F1445" s="279"/>
      <c r="G1445" s="1"/>
      <c r="J1445" s="34"/>
    </row>
    <row r="1446" spans="1:10">
      <c r="A1446" s="1"/>
      <c r="B1446" s="204"/>
      <c r="C1446" s="1"/>
      <c r="D1446" s="1"/>
      <c r="E1446" s="1"/>
      <c r="F1446" s="279"/>
      <c r="G1446" s="1"/>
      <c r="J1446" s="34"/>
    </row>
    <row r="1447" spans="1:10">
      <c r="A1447" s="1"/>
      <c r="B1447" s="204"/>
      <c r="C1447" s="1"/>
      <c r="D1447" s="1"/>
      <c r="E1447" s="1"/>
      <c r="F1447" s="279"/>
      <c r="G1447" s="1"/>
      <c r="J1447" s="34"/>
    </row>
    <row r="1448" spans="1:10">
      <c r="A1448" s="1"/>
      <c r="B1448" s="204"/>
      <c r="C1448" s="1"/>
      <c r="D1448" s="1"/>
      <c r="E1448" s="1"/>
      <c r="F1448" s="279"/>
      <c r="G1448" s="1"/>
      <c r="J1448" s="34"/>
    </row>
    <row r="1449" spans="1:10">
      <c r="A1449" s="1"/>
      <c r="B1449" s="204"/>
      <c r="C1449" s="1"/>
      <c r="D1449" s="1"/>
      <c r="E1449" s="1"/>
      <c r="F1449" s="279"/>
      <c r="G1449" s="1"/>
      <c r="J1449" s="34"/>
    </row>
    <row r="1450" spans="1:10">
      <c r="A1450" s="1"/>
      <c r="B1450" s="204"/>
      <c r="C1450" s="1"/>
      <c r="D1450" s="1"/>
      <c r="E1450" s="1"/>
      <c r="F1450" s="279"/>
      <c r="G1450" s="1"/>
      <c r="J1450" s="34"/>
    </row>
    <row r="1451" spans="1:10">
      <c r="A1451" s="1"/>
      <c r="B1451" s="204"/>
      <c r="C1451" s="1"/>
      <c r="D1451" s="1"/>
      <c r="E1451" s="1"/>
      <c r="F1451" s="279"/>
      <c r="G1451" s="1"/>
      <c r="J1451" s="34"/>
    </row>
    <row r="1452" spans="1:10">
      <c r="A1452" s="1"/>
      <c r="B1452" s="204"/>
      <c r="C1452" s="1"/>
      <c r="D1452" s="1"/>
      <c r="E1452" s="1"/>
      <c r="F1452" s="279"/>
      <c r="G1452" s="1"/>
      <c r="J1452" s="34"/>
    </row>
    <row r="1453" spans="1:10">
      <c r="A1453" s="1"/>
      <c r="B1453" s="204"/>
      <c r="C1453" s="1"/>
      <c r="D1453" s="1"/>
      <c r="E1453" s="1"/>
      <c r="F1453" s="279"/>
      <c r="G1453" s="1"/>
      <c r="J1453" s="34"/>
    </row>
    <row r="1454" spans="1:10">
      <c r="A1454" s="1"/>
      <c r="B1454" s="204"/>
      <c r="C1454" s="1"/>
      <c r="D1454" s="1"/>
      <c r="E1454" s="1"/>
      <c r="F1454" s="279"/>
      <c r="G1454" s="1"/>
      <c r="J1454" s="34"/>
    </row>
    <row r="1455" spans="1:10">
      <c r="A1455" s="1"/>
      <c r="B1455" s="204"/>
      <c r="C1455" s="1"/>
      <c r="D1455" s="1"/>
      <c r="E1455" s="1"/>
      <c r="F1455" s="279"/>
      <c r="G1455" s="1"/>
      <c r="J1455" s="34"/>
    </row>
    <row r="1456" spans="1:10">
      <c r="A1456" s="1"/>
      <c r="B1456" s="204"/>
      <c r="C1456" s="1"/>
      <c r="D1456" s="1"/>
      <c r="E1456" s="1"/>
      <c r="F1456" s="279"/>
      <c r="G1456" s="1"/>
      <c r="J1456" s="34"/>
    </row>
    <row r="1457" spans="1:10">
      <c r="A1457" s="1"/>
      <c r="B1457" s="204"/>
      <c r="C1457" s="1"/>
      <c r="D1457" s="1"/>
      <c r="E1457" s="1"/>
      <c r="F1457" s="279"/>
      <c r="G1457" s="1"/>
      <c r="J1457" s="34"/>
    </row>
    <row r="1458" spans="1:10">
      <c r="A1458" s="1"/>
      <c r="B1458" s="204"/>
      <c r="C1458" s="1"/>
      <c r="D1458" s="1"/>
      <c r="E1458" s="1"/>
      <c r="F1458" s="279"/>
      <c r="G1458" s="1"/>
      <c r="J1458" s="34"/>
    </row>
    <row r="1459" spans="1:10">
      <c r="A1459" s="1"/>
      <c r="B1459" s="204"/>
      <c r="C1459" s="1"/>
      <c r="D1459" s="1"/>
      <c r="E1459" s="1"/>
      <c r="F1459" s="279"/>
      <c r="G1459" s="1"/>
      <c r="J1459" s="34"/>
    </row>
    <row r="1460" spans="1:10">
      <c r="A1460" s="1"/>
      <c r="B1460" s="204"/>
      <c r="C1460" s="1"/>
      <c r="D1460" s="1"/>
      <c r="E1460" s="1"/>
      <c r="F1460" s="279"/>
      <c r="G1460" s="1"/>
      <c r="J1460" s="34"/>
    </row>
    <row r="1461" spans="1:10">
      <c r="A1461" s="1"/>
      <c r="B1461" s="204"/>
      <c r="C1461" s="1"/>
      <c r="D1461" s="1"/>
      <c r="E1461" s="1"/>
      <c r="F1461" s="279"/>
      <c r="G1461" s="1"/>
      <c r="J1461" s="34"/>
    </row>
    <row r="1462" spans="1:10">
      <c r="A1462" s="1"/>
      <c r="B1462" s="204"/>
      <c r="C1462" s="1"/>
      <c r="D1462" s="1"/>
      <c r="E1462" s="1"/>
      <c r="F1462" s="279"/>
      <c r="G1462" s="1"/>
      <c r="J1462" s="34"/>
    </row>
    <row r="1463" spans="1:10">
      <c r="A1463" s="1"/>
      <c r="B1463" s="204"/>
      <c r="C1463" s="1"/>
      <c r="D1463" s="1"/>
      <c r="E1463" s="1"/>
      <c r="F1463" s="279"/>
      <c r="G1463" s="1"/>
      <c r="J1463" s="34"/>
    </row>
    <row r="1464" spans="1:10">
      <c r="A1464" s="1"/>
      <c r="B1464" s="204"/>
      <c r="C1464" s="1"/>
      <c r="D1464" s="1"/>
      <c r="E1464" s="1"/>
      <c r="F1464" s="279"/>
      <c r="G1464" s="1"/>
      <c r="J1464" s="34"/>
    </row>
    <row r="1465" spans="1:10">
      <c r="A1465" s="1"/>
      <c r="B1465" s="204"/>
      <c r="C1465" s="1"/>
      <c r="D1465" s="1"/>
      <c r="E1465" s="1"/>
      <c r="F1465" s="279"/>
      <c r="G1465" s="1"/>
      <c r="J1465" s="34"/>
    </row>
    <row r="1466" spans="1:10">
      <c r="A1466" s="1"/>
      <c r="B1466" s="204"/>
      <c r="C1466" s="1"/>
      <c r="D1466" s="1"/>
      <c r="E1466" s="1"/>
      <c r="F1466" s="279"/>
      <c r="G1466" s="1"/>
      <c r="J1466" s="34"/>
    </row>
    <row r="1467" spans="1:10">
      <c r="A1467" s="1"/>
      <c r="B1467" s="204"/>
      <c r="C1467" s="1"/>
      <c r="D1467" s="1"/>
      <c r="E1467" s="1"/>
      <c r="F1467" s="279"/>
      <c r="G1467" s="1"/>
      <c r="J1467" s="34"/>
    </row>
    <row r="1468" spans="1:10">
      <c r="A1468" s="1"/>
      <c r="B1468" s="204"/>
      <c r="C1468" s="1"/>
      <c r="D1468" s="1"/>
      <c r="E1468" s="1"/>
      <c r="F1468" s="279"/>
      <c r="G1468" s="1"/>
      <c r="J1468" s="34"/>
    </row>
    <row r="1469" spans="1:10">
      <c r="A1469" s="1"/>
      <c r="B1469" s="204"/>
      <c r="C1469" s="1"/>
      <c r="D1469" s="1"/>
      <c r="E1469" s="1"/>
      <c r="F1469" s="279"/>
      <c r="G1469" s="1"/>
      <c r="J1469" s="34"/>
    </row>
    <row r="1470" spans="1:10">
      <c r="A1470" s="1"/>
      <c r="B1470" s="204"/>
      <c r="C1470" s="1"/>
      <c r="D1470" s="1"/>
      <c r="E1470" s="1"/>
      <c r="F1470" s="279"/>
      <c r="G1470" s="1"/>
      <c r="J1470" s="34"/>
    </row>
    <row r="1471" spans="1:10">
      <c r="A1471" s="1"/>
      <c r="B1471" s="204"/>
      <c r="C1471" s="1"/>
      <c r="D1471" s="1"/>
      <c r="E1471" s="1"/>
      <c r="F1471" s="279"/>
      <c r="G1471" s="1"/>
      <c r="J1471" s="34"/>
    </row>
    <row r="1472" spans="1:10">
      <c r="A1472" s="1"/>
      <c r="B1472" s="204"/>
      <c r="C1472" s="1"/>
      <c r="D1472" s="1"/>
      <c r="E1472" s="1"/>
      <c r="F1472" s="279"/>
      <c r="G1472" s="1"/>
      <c r="J1472" s="34"/>
    </row>
    <row r="1473" spans="1:10">
      <c r="A1473" s="1"/>
      <c r="B1473" s="204"/>
      <c r="C1473" s="1"/>
      <c r="D1473" s="1"/>
      <c r="E1473" s="1"/>
      <c r="F1473" s="279"/>
      <c r="G1473" s="1"/>
      <c r="J1473" s="34"/>
    </row>
    <row r="1474" spans="1:10">
      <c r="A1474" s="1"/>
      <c r="B1474" s="204"/>
      <c r="C1474" s="1"/>
      <c r="D1474" s="1"/>
      <c r="E1474" s="1"/>
      <c r="F1474" s="279"/>
      <c r="G1474" s="1"/>
      <c r="J1474" s="34"/>
    </row>
    <row r="1475" spans="1:10">
      <c r="A1475" s="1"/>
      <c r="B1475" s="204"/>
      <c r="C1475" s="1"/>
      <c r="D1475" s="1"/>
      <c r="E1475" s="1"/>
      <c r="F1475" s="279"/>
      <c r="G1475" s="1"/>
      <c r="J1475" s="34"/>
    </row>
    <row r="1476" spans="1:10">
      <c r="A1476" s="1"/>
      <c r="B1476" s="204"/>
      <c r="C1476" s="1"/>
      <c r="D1476" s="1"/>
      <c r="E1476" s="1"/>
      <c r="F1476" s="279"/>
      <c r="G1476" s="1"/>
      <c r="J1476" s="34"/>
    </row>
    <row r="1477" spans="1:10">
      <c r="A1477" s="1"/>
      <c r="B1477" s="204"/>
      <c r="C1477" s="1"/>
      <c r="D1477" s="1"/>
      <c r="E1477" s="1"/>
      <c r="F1477" s="279"/>
      <c r="G1477" s="1"/>
      <c r="J1477" s="34"/>
    </row>
    <row r="1478" spans="1:10">
      <c r="A1478" s="1"/>
      <c r="B1478" s="204"/>
      <c r="C1478" s="1"/>
      <c r="D1478" s="1"/>
      <c r="E1478" s="1"/>
      <c r="F1478" s="279"/>
      <c r="G1478" s="1"/>
      <c r="J1478" s="34"/>
    </row>
    <row r="1479" spans="1:10">
      <c r="A1479" s="1"/>
      <c r="B1479" s="204"/>
      <c r="C1479" s="1"/>
      <c r="D1479" s="1"/>
      <c r="E1479" s="1"/>
      <c r="F1479" s="279"/>
      <c r="G1479" s="1"/>
      <c r="J1479" s="34"/>
    </row>
    <row r="1480" spans="1:10">
      <c r="A1480" s="1"/>
      <c r="B1480" s="204"/>
      <c r="C1480" s="1"/>
      <c r="D1480" s="1"/>
      <c r="E1480" s="1"/>
      <c r="F1480" s="279"/>
      <c r="G1480" s="1"/>
      <c r="J1480" s="34"/>
    </row>
    <row r="1481" spans="1:10">
      <c r="A1481" s="1"/>
      <c r="B1481" s="204"/>
      <c r="C1481" s="1"/>
      <c r="D1481" s="1"/>
      <c r="E1481" s="1"/>
      <c r="F1481" s="279"/>
      <c r="G1481" s="1"/>
      <c r="J1481" s="34"/>
    </row>
    <row r="1482" spans="1:10">
      <c r="A1482" s="1"/>
      <c r="B1482" s="204"/>
      <c r="C1482" s="1"/>
      <c r="D1482" s="1"/>
      <c r="E1482" s="1"/>
      <c r="F1482" s="279"/>
      <c r="G1482" s="1"/>
      <c r="J1482" s="34"/>
    </row>
    <row r="1483" spans="1:10">
      <c r="A1483" s="1"/>
      <c r="B1483" s="204"/>
      <c r="C1483" s="1"/>
      <c r="D1483" s="1"/>
      <c r="E1483" s="1"/>
      <c r="F1483" s="279"/>
      <c r="G1483" s="1"/>
      <c r="J1483" s="34"/>
    </row>
    <row r="1484" spans="1:10">
      <c r="A1484" s="1"/>
      <c r="B1484" s="204"/>
      <c r="C1484" s="1"/>
      <c r="D1484" s="1"/>
      <c r="E1484" s="1"/>
      <c r="F1484" s="279"/>
      <c r="G1484" s="1"/>
      <c r="J1484" s="34"/>
    </row>
    <row r="1485" spans="1:10">
      <c r="A1485" s="1"/>
      <c r="B1485" s="204"/>
      <c r="C1485" s="1"/>
      <c r="D1485" s="1"/>
      <c r="E1485" s="1"/>
      <c r="F1485" s="279"/>
      <c r="G1485" s="1"/>
      <c r="J1485" s="34"/>
    </row>
    <row r="1486" spans="1:10">
      <c r="A1486" s="1"/>
      <c r="B1486" s="204"/>
      <c r="C1486" s="1"/>
      <c r="D1486" s="1"/>
      <c r="E1486" s="1"/>
      <c r="F1486" s="279"/>
      <c r="G1486" s="1"/>
      <c r="J1486" s="34"/>
    </row>
    <row r="1487" spans="1:10">
      <c r="A1487" s="1"/>
      <c r="B1487" s="204"/>
      <c r="C1487" s="1"/>
      <c r="D1487" s="1"/>
      <c r="E1487" s="1"/>
      <c r="F1487" s="279"/>
      <c r="G1487" s="1"/>
      <c r="J1487" s="34"/>
    </row>
    <row r="1488" spans="1:10">
      <c r="A1488" s="1"/>
      <c r="B1488" s="204"/>
      <c r="C1488" s="1"/>
      <c r="D1488" s="1"/>
      <c r="E1488" s="1"/>
      <c r="F1488" s="279"/>
      <c r="G1488" s="1"/>
      <c r="J1488" s="34"/>
    </row>
    <row r="1489" spans="1:10">
      <c r="A1489" s="1"/>
      <c r="B1489" s="204"/>
      <c r="C1489" s="1"/>
      <c r="D1489" s="1"/>
      <c r="E1489" s="1"/>
      <c r="F1489" s="279"/>
      <c r="G1489" s="1"/>
      <c r="J1489" s="34"/>
    </row>
    <row r="1490" spans="1:10">
      <c r="A1490" s="1"/>
      <c r="B1490" s="204"/>
      <c r="C1490" s="1"/>
      <c r="D1490" s="1"/>
      <c r="E1490" s="1"/>
      <c r="F1490" s="279"/>
      <c r="G1490" s="1"/>
      <c r="J1490" s="34"/>
    </row>
    <row r="1491" spans="1:10">
      <c r="A1491" s="1"/>
      <c r="B1491" s="204"/>
      <c r="C1491" s="1"/>
      <c r="D1491" s="1"/>
      <c r="E1491" s="1"/>
      <c r="F1491" s="279"/>
      <c r="G1491" s="1"/>
      <c r="J1491" s="34"/>
    </row>
    <row r="1492" spans="1:10">
      <c r="A1492" s="1"/>
      <c r="B1492" s="204"/>
      <c r="C1492" s="1"/>
      <c r="D1492" s="1"/>
      <c r="E1492" s="1"/>
      <c r="F1492" s="279"/>
      <c r="G1492" s="1"/>
      <c r="J1492" s="34"/>
    </row>
    <row r="1493" spans="1:10">
      <c r="A1493" s="1"/>
      <c r="B1493" s="204"/>
      <c r="C1493" s="1"/>
      <c r="D1493" s="1"/>
      <c r="E1493" s="1"/>
      <c r="F1493" s="279"/>
      <c r="G1493" s="1"/>
      <c r="J1493" s="34"/>
    </row>
    <row r="1494" spans="1:10">
      <c r="A1494" s="1"/>
      <c r="B1494" s="204"/>
      <c r="C1494" s="1"/>
      <c r="D1494" s="1"/>
      <c r="E1494" s="1"/>
      <c r="F1494" s="279"/>
      <c r="G1494" s="1"/>
      <c r="J1494" s="34"/>
    </row>
    <row r="1495" spans="1:10">
      <c r="A1495" s="1"/>
      <c r="B1495" s="204"/>
      <c r="C1495" s="1"/>
      <c r="D1495" s="1"/>
      <c r="E1495" s="1"/>
      <c r="F1495" s="279"/>
      <c r="G1495" s="1"/>
      <c r="J1495" s="34"/>
    </row>
    <row r="1496" spans="1:10">
      <c r="A1496" s="1"/>
      <c r="B1496" s="204"/>
      <c r="C1496" s="1"/>
      <c r="D1496" s="1"/>
      <c r="E1496" s="1"/>
      <c r="F1496" s="279"/>
      <c r="G1496" s="1"/>
      <c r="J1496" s="34"/>
    </row>
    <row r="1497" spans="1:10">
      <c r="A1497" s="1"/>
      <c r="B1497" s="204"/>
      <c r="C1497" s="1"/>
      <c r="D1497" s="1"/>
      <c r="E1497" s="1"/>
      <c r="F1497" s="279"/>
      <c r="G1497" s="1"/>
      <c r="J1497" s="34"/>
    </row>
    <row r="1498" spans="1:10">
      <c r="A1498" s="1"/>
      <c r="B1498" s="204"/>
      <c r="C1498" s="1"/>
      <c r="D1498" s="1"/>
      <c r="E1498" s="1"/>
      <c r="F1498" s="279"/>
      <c r="G1498" s="1"/>
      <c r="J1498" s="34"/>
    </row>
    <row r="1499" spans="1:10">
      <c r="A1499" s="1"/>
      <c r="B1499" s="204"/>
      <c r="C1499" s="1"/>
      <c r="D1499" s="1"/>
      <c r="E1499" s="1"/>
      <c r="F1499" s="279"/>
      <c r="G1499" s="1"/>
      <c r="J1499" s="34"/>
    </row>
    <row r="1500" spans="1:10">
      <c r="A1500" s="1"/>
      <c r="B1500" s="204"/>
      <c r="C1500" s="1"/>
      <c r="D1500" s="1"/>
      <c r="E1500" s="1"/>
      <c r="F1500" s="279"/>
      <c r="G1500" s="1"/>
      <c r="J1500" s="34"/>
    </row>
    <row r="1501" spans="1:10">
      <c r="A1501" s="1"/>
      <c r="B1501" s="204"/>
      <c r="C1501" s="1"/>
      <c r="D1501" s="1"/>
      <c r="E1501" s="1"/>
      <c r="F1501" s="279"/>
      <c r="G1501" s="1"/>
      <c r="J1501" s="34"/>
    </row>
    <row r="1502" spans="1:10">
      <c r="A1502" s="1"/>
      <c r="B1502" s="204"/>
      <c r="C1502" s="1"/>
      <c r="D1502" s="1"/>
      <c r="E1502" s="1"/>
      <c r="F1502" s="279"/>
      <c r="G1502" s="1"/>
      <c r="J1502" s="34"/>
    </row>
    <row r="1503" spans="1:10">
      <c r="A1503" s="1"/>
      <c r="B1503" s="204"/>
      <c r="C1503" s="1"/>
      <c r="D1503" s="1"/>
      <c r="E1503" s="1"/>
      <c r="F1503" s="279"/>
      <c r="G1503" s="1"/>
      <c r="J1503" s="34"/>
    </row>
    <row r="1504" spans="1:10">
      <c r="A1504" s="1"/>
      <c r="B1504" s="204"/>
      <c r="C1504" s="1"/>
      <c r="D1504" s="1"/>
      <c r="E1504" s="1"/>
      <c r="F1504" s="279"/>
      <c r="G1504" s="1"/>
      <c r="J1504" s="34"/>
    </row>
    <row r="1505" spans="1:10">
      <c r="A1505" s="1"/>
      <c r="B1505" s="204"/>
      <c r="C1505" s="1"/>
      <c r="D1505" s="1"/>
      <c r="E1505" s="1"/>
      <c r="F1505" s="279"/>
      <c r="G1505" s="1"/>
      <c r="J1505" s="34"/>
    </row>
    <row r="1506" spans="1:10">
      <c r="A1506" s="1"/>
      <c r="B1506" s="204"/>
      <c r="C1506" s="1"/>
      <c r="D1506" s="1"/>
      <c r="E1506" s="1"/>
      <c r="F1506" s="279"/>
      <c r="G1506" s="1"/>
      <c r="J1506" s="34"/>
    </row>
    <row r="1507" spans="1:10">
      <c r="A1507" s="1"/>
      <c r="B1507" s="204"/>
      <c r="C1507" s="1"/>
      <c r="D1507" s="1"/>
      <c r="E1507" s="1"/>
      <c r="F1507" s="279"/>
      <c r="G1507" s="1"/>
      <c r="J1507" s="34"/>
    </row>
    <row r="1508" spans="1:10">
      <c r="A1508" s="1"/>
      <c r="B1508" s="204"/>
      <c r="C1508" s="1"/>
      <c r="D1508" s="1"/>
      <c r="E1508" s="1"/>
      <c r="F1508" s="279"/>
      <c r="G1508" s="1"/>
      <c r="J1508" s="34"/>
    </row>
    <row r="1509" spans="1:10">
      <c r="A1509" s="1"/>
      <c r="B1509" s="204"/>
      <c r="C1509" s="1"/>
      <c r="D1509" s="1"/>
      <c r="E1509" s="1"/>
      <c r="F1509" s="279"/>
      <c r="G1509" s="1"/>
      <c r="J1509" s="34"/>
    </row>
    <row r="1510" spans="1:10">
      <c r="A1510" s="1"/>
      <c r="B1510" s="204"/>
      <c r="C1510" s="1"/>
      <c r="D1510" s="1"/>
      <c r="E1510" s="1"/>
      <c r="F1510" s="279"/>
      <c r="G1510" s="1"/>
      <c r="J1510" s="34"/>
    </row>
    <row r="1511" spans="1:10">
      <c r="A1511" s="1"/>
      <c r="B1511" s="204"/>
      <c r="C1511" s="1"/>
      <c r="D1511" s="1"/>
      <c r="E1511" s="1"/>
      <c r="F1511" s="279"/>
      <c r="G1511" s="1"/>
      <c r="J1511" s="34"/>
    </row>
    <row r="1512" spans="1:10">
      <c r="A1512" s="1"/>
      <c r="B1512" s="204"/>
      <c r="C1512" s="1"/>
      <c r="D1512" s="1"/>
      <c r="E1512" s="1"/>
      <c r="F1512" s="279"/>
      <c r="G1512" s="1"/>
      <c r="J1512" s="34"/>
    </row>
    <row r="1513" spans="1:10">
      <c r="A1513" s="1"/>
      <c r="B1513" s="204"/>
      <c r="C1513" s="1"/>
      <c r="D1513" s="1"/>
      <c r="E1513" s="1"/>
      <c r="F1513" s="279"/>
      <c r="G1513" s="1"/>
      <c r="J1513" s="34"/>
    </row>
    <row r="1514" spans="1:10">
      <c r="A1514" s="1"/>
      <c r="B1514" s="204"/>
      <c r="C1514" s="1"/>
      <c r="D1514" s="1"/>
      <c r="E1514" s="1"/>
      <c r="F1514" s="279"/>
      <c r="G1514" s="1"/>
      <c r="J1514" s="34"/>
    </row>
    <row r="1515" spans="1:10">
      <c r="A1515" s="1"/>
      <c r="B1515" s="204"/>
      <c r="C1515" s="1"/>
      <c r="D1515" s="1"/>
      <c r="E1515" s="1"/>
      <c r="F1515" s="279"/>
      <c r="G1515" s="1"/>
      <c r="J1515" s="34"/>
    </row>
    <row r="1516" spans="1:10">
      <c r="A1516" s="1"/>
      <c r="B1516" s="204"/>
      <c r="C1516" s="1"/>
      <c r="D1516" s="1"/>
      <c r="E1516" s="1"/>
      <c r="F1516" s="279"/>
      <c r="G1516" s="1"/>
      <c r="J1516" s="34"/>
    </row>
    <row r="1517" spans="1:10">
      <c r="A1517" s="1"/>
      <c r="B1517" s="204"/>
      <c r="C1517" s="1"/>
      <c r="D1517" s="1"/>
      <c r="E1517" s="1"/>
      <c r="F1517" s="279"/>
      <c r="G1517" s="1"/>
      <c r="J1517" s="34"/>
    </row>
    <row r="1518" spans="1:10">
      <c r="A1518" s="1"/>
      <c r="B1518" s="204"/>
      <c r="C1518" s="1"/>
      <c r="D1518" s="1"/>
      <c r="E1518" s="1"/>
      <c r="F1518" s="279"/>
      <c r="G1518" s="1"/>
      <c r="J1518" s="34"/>
    </row>
    <row r="1519" spans="1:10">
      <c r="A1519" s="1"/>
      <c r="B1519" s="204"/>
      <c r="C1519" s="1"/>
      <c r="D1519" s="1"/>
      <c r="E1519" s="1"/>
      <c r="F1519" s="279"/>
      <c r="G1519" s="1"/>
      <c r="J1519" s="34"/>
    </row>
    <row r="1520" spans="1:10">
      <c r="A1520" s="1"/>
      <c r="B1520" s="204"/>
      <c r="C1520" s="1"/>
      <c r="D1520" s="1"/>
      <c r="E1520" s="1"/>
      <c r="F1520" s="279"/>
      <c r="G1520" s="1"/>
      <c r="J1520" s="34"/>
    </row>
    <row r="1521" spans="1:10">
      <c r="A1521" s="1"/>
      <c r="B1521" s="204"/>
      <c r="C1521" s="1"/>
      <c r="D1521" s="1"/>
      <c r="E1521" s="1"/>
      <c r="F1521" s="279"/>
      <c r="G1521" s="1"/>
      <c r="J1521" s="34"/>
    </row>
    <row r="1522" spans="1:10">
      <c r="A1522" s="1"/>
      <c r="B1522" s="204"/>
      <c r="C1522" s="1"/>
      <c r="D1522" s="1"/>
      <c r="E1522" s="1"/>
      <c r="F1522" s="279"/>
      <c r="G1522" s="1"/>
      <c r="J1522" s="34"/>
    </row>
    <row r="1523" spans="1:10">
      <c r="A1523" s="1"/>
      <c r="B1523" s="204"/>
      <c r="C1523" s="1"/>
      <c r="D1523" s="1"/>
      <c r="E1523" s="1"/>
      <c r="F1523" s="279"/>
      <c r="G1523" s="1"/>
      <c r="J1523" s="34"/>
    </row>
    <row r="1524" spans="1:10">
      <c r="A1524" s="1"/>
      <c r="B1524" s="204"/>
      <c r="C1524" s="1"/>
      <c r="D1524" s="1"/>
      <c r="E1524" s="1"/>
      <c r="F1524" s="279"/>
      <c r="G1524" s="1"/>
      <c r="J1524" s="34"/>
    </row>
    <row r="1525" spans="1:10">
      <c r="A1525" s="1"/>
      <c r="B1525" s="204"/>
      <c r="C1525" s="1"/>
      <c r="D1525" s="1"/>
      <c r="E1525" s="1"/>
      <c r="F1525" s="279"/>
      <c r="G1525" s="1"/>
      <c r="J1525" s="34"/>
    </row>
    <row r="1526" spans="1:10">
      <c r="A1526" s="1"/>
      <c r="B1526" s="204"/>
      <c r="C1526" s="1"/>
      <c r="D1526" s="1"/>
      <c r="E1526" s="1"/>
      <c r="F1526" s="279"/>
      <c r="G1526" s="1"/>
      <c r="J1526" s="34"/>
    </row>
    <row r="1527" spans="1:10">
      <c r="A1527" s="1"/>
      <c r="B1527" s="204"/>
      <c r="C1527" s="1"/>
      <c r="D1527" s="1"/>
      <c r="E1527" s="1"/>
      <c r="F1527" s="279"/>
      <c r="G1527" s="1"/>
      <c r="J1527" s="34"/>
    </row>
    <row r="1528" spans="1:10">
      <c r="A1528" s="1"/>
      <c r="B1528" s="204"/>
      <c r="C1528" s="1"/>
      <c r="D1528" s="1"/>
      <c r="E1528" s="1"/>
      <c r="F1528" s="279"/>
      <c r="G1528" s="1"/>
      <c r="J1528" s="34"/>
    </row>
    <row r="1529" spans="1:10">
      <c r="A1529" s="1"/>
      <c r="B1529" s="204"/>
      <c r="C1529" s="1"/>
      <c r="D1529" s="1"/>
      <c r="E1529" s="1"/>
      <c r="F1529" s="279"/>
      <c r="G1529" s="1"/>
      <c r="J1529" s="34"/>
    </row>
    <row r="1530" spans="1:10">
      <c r="A1530" s="1"/>
      <c r="B1530" s="204"/>
      <c r="C1530" s="1"/>
      <c r="D1530" s="1"/>
      <c r="E1530" s="1"/>
      <c r="F1530" s="279"/>
      <c r="G1530" s="1"/>
      <c r="J1530" s="34"/>
    </row>
    <row r="1531" spans="1:10">
      <c r="A1531" s="1"/>
      <c r="B1531" s="204"/>
      <c r="C1531" s="1"/>
      <c r="D1531" s="1"/>
      <c r="E1531" s="1"/>
      <c r="F1531" s="279"/>
      <c r="G1531" s="1"/>
      <c r="J1531" s="34"/>
    </row>
    <row r="1532" spans="1:10">
      <c r="A1532" s="1"/>
      <c r="B1532" s="204"/>
      <c r="C1532" s="1"/>
      <c r="D1532" s="1"/>
      <c r="E1532" s="1"/>
      <c r="F1532" s="279"/>
      <c r="G1532" s="1"/>
      <c r="J1532" s="34"/>
    </row>
    <row r="1533" spans="1:10">
      <c r="A1533" s="1"/>
      <c r="B1533" s="204"/>
      <c r="C1533" s="1"/>
      <c r="D1533" s="1"/>
      <c r="E1533" s="1"/>
      <c r="F1533" s="279"/>
      <c r="G1533" s="1"/>
      <c r="J1533" s="34"/>
    </row>
    <row r="1534" spans="1:10">
      <c r="A1534" s="1"/>
      <c r="B1534" s="204"/>
      <c r="C1534" s="1"/>
      <c r="D1534" s="1"/>
      <c r="E1534" s="1"/>
      <c r="F1534" s="279"/>
      <c r="G1534" s="1"/>
      <c r="J1534" s="34"/>
    </row>
    <row r="1535" spans="1:10">
      <c r="A1535" s="1"/>
      <c r="B1535" s="204"/>
      <c r="C1535" s="1"/>
      <c r="D1535" s="1"/>
      <c r="E1535" s="1"/>
      <c r="F1535" s="279"/>
      <c r="G1535" s="1"/>
      <c r="J1535" s="34"/>
    </row>
    <row r="1536" spans="1:10">
      <c r="A1536" s="1"/>
      <c r="B1536" s="204"/>
      <c r="C1536" s="1"/>
      <c r="D1536" s="1"/>
      <c r="E1536" s="1"/>
      <c r="F1536" s="279"/>
      <c r="G1536" s="1"/>
      <c r="J1536" s="34"/>
    </row>
    <row r="1537" spans="1:10">
      <c r="A1537" s="1"/>
      <c r="B1537" s="204"/>
      <c r="C1537" s="1"/>
      <c r="D1537" s="1"/>
      <c r="E1537" s="1"/>
      <c r="F1537" s="279"/>
      <c r="G1537" s="1"/>
      <c r="J1537" s="34"/>
    </row>
    <row r="1538" spans="1:10">
      <c r="A1538" s="1"/>
      <c r="B1538" s="204"/>
      <c r="C1538" s="1"/>
      <c r="D1538" s="1"/>
      <c r="E1538" s="1"/>
      <c r="F1538" s="279"/>
      <c r="G1538" s="1"/>
      <c r="J1538" s="34"/>
    </row>
    <row r="1539" spans="1:10">
      <c r="A1539" s="1"/>
      <c r="B1539" s="204"/>
      <c r="C1539" s="1"/>
      <c r="D1539" s="1"/>
      <c r="E1539" s="1"/>
      <c r="F1539" s="279"/>
      <c r="G1539" s="1"/>
      <c r="J1539" s="34"/>
    </row>
    <row r="1540" spans="1:10">
      <c r="A1540" s="1"/>
      <c r="B1540" s="204"/>
      <c r="C1540" s="1"/>
      <c r="D1540" s="1"/>
      <c r="E1540" s="1"/>
      <c r="F1540" s="279"/>
      <c r="G1540" s="1"/>
      <c r="J1540" s="34"/>
    </row>
    <row r="1541" spans="1:10">
      <c r="A1541" s="1"/>
      <c r="B1541" s="204"/>
      <c r="C1541" s="1"/>
      <c r="D1541" s="1"/>
      <c r="E1541" s="1"/>
      <c r="F1541" s="279"/>
      <c r="G1541" s="1"/>
      <c r="J1541" s="34"/>
    </row>
    <row r="1542" spans="1:10">
      <c r="A1542" s="1"/>
      <c r="B1542" s="204"/>
      <c r="C1542" s="1"/>
      <c r="D1542" s="1"/>
      <c r="E1542" s="1"/>
      <c r="F1542" s="279"/>
      <c r="G1542" s="1"/>
      <c r="J1542" s="34"/>
    </row>
    <row r="1543" spans="1:10">
      <c r="A1543" s="1"/>
      <c r="B1543" s="204"/>
      <c r="C1543" s="1"/>
      <c r="D1543" s="1"/>
      <c r="E1543" s="1"/>
      <c r="F1543" s="279"/>
      <c r="G1543" s="1"/>
      <c r="J1543" s="34"/>
    </row>
    <row r="1544" spans="1:10">
      <c r="A1544" s="1"/>
      <c r="B1544" s="204"/>
      <c r="C1544" s="1"/>
      <c r="D1544" s="1"/>
      <c r="E1544" s="1"/>
      <c r="F1544" s="279"/>
      <c r="G1544" s="1"/>
      <c r="J1544" s="34"/>
    </row>
    <row r="1545" spans="1:10">
      <c r="A1545" s="1"/>
      <c r="B1545" s="204"/>
      <c r="C1545" s="1"/>
      <c r="D1545" s="1"/>
      <c r="E1545" s="1"/>
      <c r="F1545" s="279"/>
      <c r="G1545" s="1"/>
      <c r="J1545" s="34"/>
    </row>
    <row r="1546" spans="1:10">
      <c r="A1546" s="1"/>
      <c r="B1546" s="204"/>
      <c r="C1546" s="1"/>
      <c r="D1546" s="1"/>
      <c r="E1546" s="1"/>
      <c r="F1546" s="279"/>
      <c r="G1546" s="1"/>
      <c r="J1546" s="34"/>
    </row>
    <row r="1547" spans="1:10">
      <c r="A1547" s="1"/>
      <c r="B1547" s="204"/>
      <c r="C1547" s="1"/>
      <c r="D1547" s="1"/>
      <c r="E1547" s="1"/>
      <c r="F1547" s="279"/>
      <c r="G1547" s="1"/>
      <c r="J1547" s="34"/>
    </row>
    <row r="1548" spans="1:10">
      <c r="A1548" s="1"/>
      <c r="B1548" s="204"/>
      <c r="C1548" s="1"/>
      <c r="D1548" s="1"/>
      <c r="E1548" s="1"/>
      <c r="F1548" s="279"/>
      <c r="G1548" s="1"/>
      <c r="J1548" s="34"/>
    </row>
    <row r="1549" spans="1:10">
      <c r="A1549" s="1"/>
      <c r="B1549" s="204"/>
      <c r="C1549" s="1"/>
      <c r="D1549" s="1"/>
      <c r="E1549" s="1"/>
      <c r="F1549" s="279"/>
      <c r="G1549" s="1"/>
      <c r="J1549" s="34"/>
    </row>
    <row r="1550" spans="1:10">
      <c r="A1550" s="1"/>
      <c r="B1550" s="204"/>
      <c r="C1550" s="1"/>
      <c r="D1550" s="1"/>
      <c r="E1550" s="1"/>
      <c r="F1550" s="279"/>
      <c r="G1550" s="1"/>
      <c r="J1550" s="34"/>
    </row>
    <row r="1551" spans="1:10">
      <c r="A1551" s="1"/>
      <c r="B1551" s="204"/>
      <c r="C1551" s="1"/>
      <c r="D1551" s="1"/>
      <c r="E1551" s="1"/>
      <c r="F1551" s="279"/>
      <c r="G1551" s="1"/>
      <c r="J1551" s="34"/>
    </row>
    <row r="1552" spans="1:10">
      <c r="A1552" s="1"/>
      <c r="B1552" s="204"/>
      <c r="C1552" s="1"/>
      <c r="D1552" s="1"/>
      <c r="E1552" s="1"/>
      <c r="F1552" s="279"/>
      <c r="G1552" s="1"/>
      <c r="J1552" s="34"/>
    </row>
    <row r="1553" spans="1:10">
      <c r="A1553" s="1"/>
      <c r="B1553" s="204"/>
      <c r="C1553" s="1"/>
      <c r="D1553" s="1"/>
      <c r="E1553" s="1"/>
      <c r="F1553" s="279"/>
      <c r="G1553" s="1"/>
      <c r="J1553" s="34"/>
    </row>
    <row r="1554" spans="1:10">
      <c r="A1554" s="1"/>
      <c r="B1554" s="204"/>
      <c r="C1554" s="1"/>
      <c r="D1554" s="1"/>
      <c r="E1554" s="1"/>
      <c r="F1554" s="279"/>
      <c r="G1554" s="1"/>
      <c r="J1554" s="34"/>
    </row>
    <row r="1555" spans="1:10">
      <c r="A1555" s="1"/>
      <c r="B1555" s="204"/>
      <c r="C1555" s="1"/>
      <c r="D1555" s="1"/>
      <c r="E1555" s="1"/>
      <c r="F1555" s="279"/>
      <c r="G1555" s="1"/>
      <c r="J1555" s="34"/>
    </row>
    <row r="1556" spans="1:10">
      <c r="A1556" s="1"/>
      <c r="B1556" s="204"/>
      <c r="C1556" s="1"/>
      <c r="D1556" s="1"/>
      <c r="E1556" s="1"/>
      <c r="F1556" s="279"/>
      <c r="G1556" s="1"/>
      <c r="J1556" s="34"/>
    </row>
    <row r="1557" spans="1:10">
      <c r="A1557" s="1"/>
      <c r="B1557" s="204"/>
      <c r="C1557" s="1"/>
      <c r="D1557" s="1"/>
      <c r="E1557" s="1"/>
      <c r="F1557" s="279"/>
      <c r="G1557" s="1"/>
      <c r="J1557" s="34"/>
    </row>
    <row r="1558" spans="1:10">
      <c r="A1558" s="1"/>
      <c r="B1558" s="204"/>
      <c r="C1558" s="1"/>
      <c r="D1558" s="1"/>
      <c r="E1558" s="1"/>
      <c r="F1558" s="279"/>
      <c r="G1558" s="1"/>
      <c r="J1558" s="34"/>
    </row>
    <row r="1559" spans="1:10">
      <c r="A1559" s="1"/>
      <c r="B1559" s="204"/>
      <c r="C1559" s="1"/>
      <c r="D1559" s="1"/>
      <c r="E1559" s="1"/>
      <c r="F1559" s="279"/>
      <c r="G1559" s="1"/>
      <c r="J1559" s="34"/>
    </row>
    <row r="1560" spans="1:10">
      <c r="A1560" s="1"/>
      <c r="B1560" s="204"/>
      <c r="C1560" s="1"/>
      <c r="D1560" s="1"/>
      <c r="E1560" s="1"/>
      <c r="F1560" s="279"/>
      <c r="G1560" s="1"/>
      <c r="J1560" s="34"/>
    </row>
    <row r="1561" spans="1:10">
      <c r="A1561" s="1"/>
      <c r="B1561" s="204"/>
      <c r="C1561" s="1"/>
      <c r="D1561" s="1"/>
      <c r="E1561" s="1"/>
      <c r="F1561" s="279"/>
      <c r="G1561" s="1"/>
      <c r="J1561" s="34"/>
    </row>
    <row r="1562" spans="1:10">
      <c r="A1562" s="1"/>
      <c r="B1562" s="204"/>
      <c r="C1562" s="1"/>
      <c r="D1562" s="1"/>
      <c r="E1562" s="1"/>
      <c r="F1562" s="279"/>
      <c r="G1562" s="1"/>
      <c r="J1562" s="34"/>
    </row>
    <row r="1563" spans="1:10">
      <c r="A1563" s="1"/>
      <c r="B1563" s="204"/>
      <c r="C1563" s="1"/>
      <c r="D1563" s="1"/>
      <c r="E1563" s="1"/>
      <c r="F1563" s="279"/>
      <c r="G1563" s="1"/>
      <c r="J1563" s="34"/>
    </row>
    <row r="1564" spans="1:10">
      <c r="A1564" s="1"/>
      <c r="B1564" s="204"/>
      <c r="C1564" s="1"/>
      <c r="D1564" s="1"/>
      <c r="E1564" s="1"/>
      <c r="F1564" s="279"/>
      <c r="G1564" s="1"/>
      <c r="J1564" s="34"/>
    </row>
    <row r="1565" spans="1:10">
      <c r="A1565" s="1"/>
      <c r="B1565" s="204"/>
      <c r="C1565" s="1"/>
      <c r="D1565" s="1"/>
      <c r="E1565" s="1"/>
      <c r="F1565" s="279"/>
      <c r="G1565" s="1"/>
      <c r="J1565" s="34"/>
    </row>
    <row r="1566" spans="1:10">
      <c r="A1566" s="1"/>
      <c r="B1566" s="204"/>
      <c r="C1566" s="1"/>
      <c r="D1566" s="1"/>
      <c r="E1566" s="1"/>
      <c r="F1566" s="279"/>
      <c r="G1566" s="1"/>
      <c r="J1566" s="34"/>
    </row>
    <row r="1567" spans="1:10">
      <c r="A1567" s="1"/>
      <c r="B1567" s="204"/>
      <c r="C1567" s="1"/>
      <c r="D1567" s="1"/>
      <c r="E1567" s="1"/>
      <c r="F1567" s="279"/>
      <c r="G1567" s="1"/>
      <c r="J1567" s="34"/>
    </row>
    <row r="1568" spans="1:10">
      <c r="A1568" s="1"/>
      <c r="B1568" s="204"/>
      <c r="C1568" s="1"/>
      <c r="D1568" s="1"/>
      <c r="E1568" s="1"/>
      <c r="F1568" s="279"/>
      <c r="G1568" s="1"/>
      <c r="J1568" s="34"/>
    </row>
    <row r="1569" spans="1:10">
      <c r="A1569" s="1"/>
      <c r="B1569" s="204"/>
      <c r="C1569" s="1"/>
      <c r="D1569" s="1"/>
      <c r="E1569" s="1"/>
      <c r="F1569" s="279"/>
      <c r="G1569" s="1"/>
      <c r="J1569" s="34"/>
    </row>
    <row r="1570" spans="1:10">
      <c r="A1570" s="1"/>
      <c r="B1570" s="204"/>
      <c r="C1570" s="1"/>
      <c r="D1570" s="1"/>
      <c r="E1570" s="1"/>
      <c r="F1570" s="279"/>
      <c r="G1570" s="1"/>
      <c r="J1570" s="34"/>
    </row>
    <row r="1571" spans="1:10">
      <c r="A1571" s="1"/>
      <c r="B1571" s="204"/>
      <c r="C1571" s="1"/>
      <c r="D1571" s="1"/>
      <c r="E1571" s="1"/>
      <c r="F1571" s="279"/>
      <c r="G1571" s="1"/>
      <c r="J1571" s="34"/>
    </row>
    <row r="1572" spans="1:10">
      <c r="A1572" s="1"/>
      <c r="B1572" s="204"/>
      <c r="C1572" s="1"/>
      <c r="D1572" s="1"/>
      <c r="E1572" s="1"/>
      <c r="F1572" s="279"/>
      <c r="G1572" s="1"/>
      <c r="J1572" s="34"/>
    </row>
    <row r="1573" spans="1:10">
      <c r="A1573" s="1"/>
      <c r="B1573" s="204"/>
      <c r="C1573" s="1"/>
      <c r="D1573" s="1"/>
      <c r="E1573" s="1"/>
      <c r="F1573" s="279"/>
      <c r="G1573" s="1"/>
      <c r="J1573" s="34"/>
    </row>
    <row r="1574" spans="1:10">
      <c r="A1574" s="1"/>
      <c r="B1574" s="204"/>
      <c r="C1574" s="1"/>
      <c r="D1574" s="1"/>
      <c r="E1574" s="1"/>
      <c r="F1574" s="279"/>
      <c r="G1574" s="1"/>
      <c r="J1574" s="34"/>
    </row>
    <row r="1575" spans="1:10">
      <c r="A1575" s="1"/>
      <c r="B1575" s="204"/>
      <c r="C1575" s="1"/>
      <c r="D1575" s="1"/>
      <c r="E1575" s="1"/>
      <c r="F1575" s="279"/>
      <c r="G1575" s="1"/>
      <c r="J1575" s="34"/>
    </row>
    <row r="1576" spans="1:10">
      <c r="A1576" s="1"/>
      <c r="B1576" s="204"/>
      <c r="C1576" s="1"/>
      <c r="D1576" s="1"/>
      <c r="E1576" s="1"/>
      <c r="F1576" s="279"/>
      <c r="G1576" s="1"/>
      <c r="J1576" s="34"/>
    </row>
    <row r="1577" spans="1:10">
      <c r="A1577" s="1"/>
      <c r="B1577" s="204"/>
      <c r="C1577" s="1"/>
      <c r="D1577" s="1"/>
      <c r="E1577" s="1"/>
      <c r="F1577" s="279"/>
      <c r="G1577" s="1"/>
      <c r="J1577" s="34"/>
    </row>
    <row r="1578" spans="1:10">
      <c r="A1578" s="1"/>
      <c r="B1578" s="204"/>
      <c r="C1578" s="1"/>
      <c r="D1578" s="1"/>
      <c r="E1578" s="1"/>
      <c r="F1578" s="279"/>
      <c r="G1578" s="1"/>
      <c r="J1578" s="34"/>
    </row>
    <row r="1579" spans="1:10">
      <c r="A1579" s="1"/>
      <c r="B1579" s="204"/>
      <c r="C1579" s="1"/>
      <c r="D1579" s="1"/>
      <c r="E1579" s="1"/>
      <c r="F1579" s="279"/>
      <c r="G1579" s="1"/>
      <c r="J1579" s="34"/>
    </row>
    <row r="1580" spans="1:10">
      <c r="A1580" s="1"/>
      <c r="B1580" s="204"/>
      <c r="C1580" s="1"/>
      <c r="D1580" s="1"/>
      <c r="E1580" s="1"/>
      <c r="F1580" s="279"/>
      <c r="G1580" s="1"/>
      <c r="J1580" s="34"/>
    </row>
    <row r="1581" spans="1:10">
      <c r="A1581" s="1"/>
      <c r="B1581" s="204"/>
      <c r="C1581" s="1"/>
      <c r="D1581" s="1"/>
      <c r="E1581" s="1"/>
      <c r="F1581" s="279"/>
      <c r="G1581" s="1"/>
      <c r="J1581" s="34"/>
    </row>
    <row r="1582" spans="1:10">
      <c r="A1582" s="1"/>
      <c r="B1582" s="204"/>
      <c r="C1582" s="1"/>
      <c r="D1582" s="1"/>
      <c r="E1582" s="1"/>
      <c r="F1582" s="279"/>
      <c r="G1582" s="1"/>
      <c r="J1582" s="34"/>
    </row>
    <row r="1583" spans="1:10">
      <c r="A1583" s="1"/>
      <c r="B1583" s="204"/>
      <c r="C1583" s="1"/>
      <c r="D1583" s="1"/>
      <c r="E1583" s="1"/>
      <c r="F1583" s="279"/>
      <c r="G1583" s="1"/>
      <c r="J1583" s="34"/>
    </row>
    <row r="1584" spans="1:10">
      <c r="A1584" s="1"/>
      <c r="B1584" s="204"/>
      <c r="C1584" s="1"/>
      <c r="D1584" s="1"/>
      <c r="E1584" s="1"/>
      <c r="F1584" s="279"/>
      <c r="G1584" s="1"/>
      <c r="J1584" s="34"/>
    </row>
    <row r="1585" spans="1:10">
      <c r="A1585" s="1"/>
      <c r="B1585" s="204"/>
      <c r="C1585" s="1"/>
      <c r="D1585" s="1"/>
      <c r="E1585" s="1"/>
      <c r="F1585" s="279"/>
      <c r="G1585" s="1"/>
      <c r="J1585" s="34"/>
    </row>
    <row r="1586" spans="1:10">
      <c r="A1586" s="1"/>
      <c r="B1586" s="204"/>
      <c r="C1586" s="1"/>
      <c r="D1586" s="1"/>
      <c r="E1586" s="1"/>
      <c r="F1586" s="279"/>
      <c r="G1586" s="1"/>
      <c r="J1586" s="34"/>
    </row>
    <row r="1587" spans="1:10">
      <c r="A1587" s="1"/>
      <c r="B1587" s="204"/>
      <c r="C1587" s="1"/>
      <c r="D1587" s="1"/>
      <c r="E1587" s="1"/>
      <c r="F1587" s="279"/>
      <c r="G1587" s="1"/>
      <c r="J1587" s="34"/>
    </row>
    <row r="1588" spans="1:10">
      <c r="A1588" s="1"/>
      <c r="B1588" s="204"/>
      <c r="C1588" s="1"/>
      <c r="D1588" s="1"/>
      <c r="E1588" s="1"/>
      <c r="F1588" s="279"/>
      <c r="G1588" s="1"/>
      <c r="J1588" s="34"/>
    </row>
    <row r="1589" spans="1:10">
      <c r="A1589" s="1"/>
      <c r="B1589" s="204"/>
      <c r="C1589" s="1"/>
      <c r="D1589" s="1"/>
      <c r="E1589" s="1"/>
      <c r="F1589" s="279"/>
      <c r="G1589" s="1"/>
      <c r="J1589" s="34"/>
    </row>
    <row r="1590" spans="1:10">
      <c r="A1590" s="1"/>
      <c r="B1590" s="204"/>
      <c r="C1590" s="1"/>
      <c r="D1590" s="1"/>
      <c r="E1590" s="1"/>
      <c r="F1590" s="279"/>
      <c r="G1590" s="1"/>
      <c r="J1590" s="34"/>
    </row>
    <row r="1591" spans="1:10">
      <c r="A1591" s="1"/>
      <c r="B1591" s="204"/>
      <c r="C1591" s="1"/>
      <c r="D1591" s="1"/>
      <c r="E1591" s="1"/>
      <c r="F1591" s="279"/>
      <c r="G1591" s="1"/>
      <c r="J1591" s="34"/>
    </row>
    <row r="1592" spans="1:10">
      <c r="A1592" s="1"/>
      <c r="B1592" s="204"/>
      <c r="C1592" s="1"/>
      <c r="D1592" s="1"/>
      <c r="E1592" s="1"/>
      <c r="F1592" s="279"/>
      <c r="G1592" s="1"/>
      <c r="J1592" s="34"/>
    </row>
    <row r="1593" spans="1:10">
      <c r="A1593" s="1"/>
      <c r="B1593" s="204"/>
      <c r="C1593" s="1"/>
      <c r="D1593" s="1"/>
      <c r="E1593" s="1"/>
      <c r="F1593" s="279"/>
      <c r="G1593" s="1"/>
      <c r="J1593" s="34"/>
    </row>
    <row r="1594" spans="1:10">
      <c r="A1594" s="1"/>
      <c r="B1594" s="204"/>
      <c r="C1594" s="1"/>
      <c r="D1594" s="1"/>
      <c r="E1594" s="1"/>
      <c r="F1594" s="279"/>
      <c r="G1594" s="1"/>
      <c r="J1594" s="34"/>
    </row>
    <row r="1595" spans="1:10">
      <c r="A1595" s="1"/>
      <c r="B1595" s="204"/>
      <c r="C1595" s="1"/>
      <c r="D1595" s="1"/>
      <c r="E1595" s="1"/>
      <c r="F1595" s="279"/>
      <c r="G1595" s="1"/>
      <c r="J1595" s="34"/>
    </row>
    <row r="1596" spans="1:10">
      <c r="A1596" s="1"/>
      <c r="B1596" s="204"/>
      <c r="C1596" s="1"/>
      <c r="D1596" s="1"/>
      <c r="E1596" s="1"/>
      <c r="F1596" s="279"/>
      <c r="G1596" s="1"/>
      <c r="J1596" s="34"/>
    </row>
    <row r="1597" spans="1:10">
      <c r="A1597" s="1"/>
      <c r="B1597" s="204"/>
      <c r="C1597" s="1"/>
      <c r="D1597" s="1"/>
      <c r="E1597" s="1"/>
      <c r="F1597" s="279"/>
      <c r="G1597" s="1"/>
      <c r="J1597" s="34"/>
    </row>
    <row r="1598" spans="1:10">
      <c r="A1598" s="1"/>
      <c r="B1598" s="204"/>
      <c r="C1598" s="1"/>
      <c r="D1598" s="1"/>
      <c r="E1598" s="1"/>
      <c r="F1598" s="279"/>
      <c r="G1598" s="1"/>
      <c r="J1598" s="34"/>
    </row>
    <row r="1599" spans="1:10">
      <c r="A1599" s="1"/>
      <c r="B1599" s="204"/>
      <c r="C1599" s="1"/>
      <c r="D1599" s="1"/>
      <c r="E1599" s="1"/>
      <c r="F1599" s="279"/>
      <c r="G1599" s="1"/>
      <c r="J1599" s="34"/>
    </row>
    <row r="1600" spans="1:10">
      <c r="A1600" s="1"/>
      <c r="B1600" s="204"/>
      <c r="C1600" s="1"/>
      <c r="D1600" s="1"/>
      <c r="E1600" s="1"/>
      <c r="F1600" s="279"/>
      <c r="G1600" s="1"/>
      <c r="J1600" s="34"/>
    </row>
    <row r="1601" spans="1:10">
      <c r="A1601" s="1"/>
      <c r="B1601" s="204"/>
      <c r="C1601" s="1"/>
      <c r="D1601" s="1"/>
      <c r="E1601" s="1"/>
      <c r="F1601" s="279"/>
      <c r="G1601" s="1"/>
      <c r="J1601" s="34"/>
    </row>
    <row r="1602" spans="1:10">
      <c r="A1602" s="1"/>
      <c r="B1602" s="204"/>
      <c r="C1602" s="1"/>
      <c r="D1602" s="1"/>
      <c r="E1602" s="1"/>
      <c r="F1602" s="279"/>
      <c r="G1602" s="1"/>
      <c r="J1602" s="34"/>
    </row>
    <row r="1603" spans="1:10">
      <c r="A1603" s="1"/>
      <c r="B1603" s="204"/>
      <c r="C1603" s="1"/>
      <c r="D1603" s="1"/>
      <c r="E1603" s="1"/>
      <c r="F1603" s="279"/>
      <c r="G1603" s="1"/>
      <c r="J1603" s="34"/>
    </row>
    <row r="1604" spans="1:10">
      <c r="A1604" s="1"/>
      <c r="B1604" s="204"/>
      <c r="C1604" s="1"/>
      <c r="D1604" s="1"/>
      <c r="E1604" s="1"/>
      <c r="F1604" s="279"/>
      <c r="G1604" s="1"/>
      <c r="J1604" s="34"/>
    </row>
    <row r="1605" spans="1:10">
      <c r="A1605" s="1"/>
      <c r="B1605" s="204"/>
      <c r="C1605" s="1"/>
      <c r="D1605" s="1"/>
      <c r="E1605" s="1"/>
      <c r="F1605" s="279"/>
      <c r="G1605" s="1"/>
      <c r="J1605" s="34"/>
    </row>
    <row r="1606" spans="1:10">
      <c r="A1606" s="1"/>
      <c r="B1606" s="204"/>
      <c r="C1606" s="1"/>
      <c r="D1606" s="1"/>
      <c r="E1606" s="1"/>
      <c r="F1606" s="279"/>
      <c r="G1606" s="1"/>
      <c r="J1606" s="34"/>
    </row>
    <row r="1607" spans="1:10">
      <c r="A1607" s="1"/>
      <c r="B1607" s="204"/>
      <c r="C1607" s="1"/>
      <c r="D1607" s="1"/>
      <c r="E1607" s="1"/>
      <c r="F1607" s="279"/>
      <c r="G1607" s="1"/>
      <c r="J1607" s="34"/>
    </row>
    <row r="1608" spans="1:10">
      <c r="A1608" s="1"/>
      <c r="B1608" s="204"/>
      <c r="C1608" s="1"/>
      <c r="D1608" s="1"/>
      <c r="E1608" s="1"/>
      <c r="F1608" s="279"/>
      <c r="G1608" s="1"/>
      <c r="J1608" s="34"/>
    </row>
    <row r="1609" spans="1:10">
      <c r="A1609" s="1"/>
      <c r="B1609" s="204"/>
      <c r="C1609" s="1"/>
      <c r="D1609" s="1"/>
      <c r="E1609" s="1"/>
      <c r="F1609" s="279"/>
      <c r="G1609" s="1"/>
      <c r="J1609" s="34"/>
    </row>
    <row r="1610" spans="1:10">
      <c r="A1610" s="1"/>
      <c r="B1610" s="204"/>
      <c r="C1610" s="1"/>
      <c r="D1610" s="1"/>
      <c r="E1610" s="1"/>
      <c r="F1610" s="279"/>
      <c r="G1610" s="1"/>
      <c r="J1610" s="34"/>
    </row>
    <row r="1611" spans="1:10">
      <c r="A1611" s="1"/>
      <c r="B1611" s="204"/>
      <c r="C1611" s="1"/>
      <c r="D1611" s="1"/>
      <c r="E1611" s="1"/>
      <c r="F1611" s="279"/>
      <c r="G1611" s="1"/>
      <c r="J1611" s="34"/>
    </row>
    <row r="1612" spans="1:10">
      <c r="A1612" s="1"/>
      <c r="B1612" s="204"/>
      <c r="C1612" s="1"/>
      <c r="D1612" s="1"/>
      <c r="E1612" s="1"/>
      <c r="F1612" s="279"/>
      <c r="G1612" s="1"/>
      <c r="J1612" s="34"/>
    </row>
    <row r="1613" spans="1:10">
      <c r="A1613" s="1"/>
      <c r="B1613" s="204"/>
      <c r="C1613" s="1"/>
      <c r="D1613" s="1"/>
      <c r="E1613" s="1"/>
      <c r="F1613" s="279"/>
      <c r="G1613" s="1"/>
      <c r="J1613" s="34"/>
    </row>
    <row r="1614" spans="1:10">
      <c r="A1614" s="1"/>
      <c r="B1614" s="204"/>
      <c r="C1614" s="1"/>
      <c r="D1614" s="1"/>
      <c r="E1614" s="1"/>
      <c r="F1614" s="279"/>
      <c r="G1614" s="1"/>
      <c r="J1614" s="34"/>
    </row>
    <row r="1615" spans="1:10">
      <c r="A1615" s="1"/>
      <c r="B1615" s="204"/>
      <c r="C1615" s="1"/>
      <c r="D1615" s="1"/>
      <c r="E1615" s="1"/>
      <c r="F1615" s="279"/>
      <c r="G1615" s="1"/>
      <c r="J1615" s="34"/>
    </row>
    <row r="1616" spans="1:10">
      <c r="A1616" s="1"/>
      <c r="B1616" s="204"/>
      <c r="C1616" s="1"/>
      <c r="D1616" s="1"/>
      <c r="E1616" s="1"/>
      <c r="F1616" s="279"/>
      <c r="G1616" s="1"/>
      <c r="J1616" s="34"/>
    </row>
    <row r="1617" spans="1:10">
      <c r="A1617" s="1"/>
      <c r="B1617" s="204"/>
      <c r="C1617" s="1"/>
      <c r="D1617" s="1"/>
      <c r="E1617" s="1"/>
      <c r="F1617" s="279"/>
      <c r="G1617" s="1"/>
      <c r="J1617" s="34"/>
    </row>
    <row r="1618" spans="1:10">
      <c r="A1618" s="1"/>
      <c r="B1618" s="204"/>
      <c r="C1618" s="1"/>
      <c r="D1618" s="1"/>
      <c r="E1618" s="1"/>
      <c r="F1618" s="279"/>
      <c r="G1618" s="1"/>
      <c r="J1618" s="34"/>
    </row>
    <row r="1619" spans="1:10">
      <c r="A1619" s="1"/>
      <c r="B1619" s="204"/>
      <c r="C1619" s="1"/>
      <c r="D1619" s="1"/>
      <c r="E1619" s="1"/>
      <c r="F1619" s="279"/>
      <c r="G1619" s="1"/>
      <c r="J1619" s="34"/>
    </row>
    <row r="1620" spans="1:10">
      <c r="A1620" s="1"/>
      <c r="B1620" s="204"/>
      <c r="C1620" s="1"/>
      <c r="D1620" s="1"/>
      <c r="E1620" s="1"/>
      <c r="F1620" s="279"/>
      <c r="G1620" s="1"/>
      <c r="J1620" s="34"/>
    </row>
    <row r="1621" spans="1:10">
      <c r="A1621" s="1"/>
      <c r="B1621" s="204"/>
      <c r="C1621" s="1"/>
      <c r="D1621" s="1"/>
      <c r="E1621" s="1"/>
      <c r="F1621" s="279"/>
      <c r="G1621" s="1"/>
      <c r="J1621" s="34"/>
    </row>
    <row r="1622" spans="1:10">
      <c r="A1622" s="1"/>
      <c r="B1622" s="204"/>
      <c r="C1622" s="1"/>
      <c r="D1622" s="1"/>
      <c r="E1622" s="1"/>
      <c r="F1622" s="279"/>
      <c r="G1622" s="1"/>
      <c r="J1622" s="34"/>
    </row>
    <row r="1623" spans="1:10">
      <c r="A1623" s="1"/>
      <c r="B1623" s="204"/>
      <c r="C1623" s="1"/>
      <c r="D1623" s="1"/>
      <c r="E1623" s="1"/>
      <c r="F1623" s="279"/>
      <c r="G1623" s="1"/>
      <c r="J1623" s="34"/>
    </row>
    <row r="1624" spans="1:10">
      <c r="A1624" s="1"/>
      <c r="B1624" s="204"/>
      <c r="C1624" s="1"/>
      <c r="D1624" s="1"/>
      <c r="E1624" s="1"/>
      <c r="F1624" s="279"/>
      <c r="G1624" s="1"/>
      <c r="J1624" s="34"/>
    </row>
    <row r="1625" spans="1:10">
      <c r="A1625" s="1"/>
      <c r="B1625" s="204"/>
      <c r="C1625" s="1"/>
      <c r="D1625" s="1"/>
      <c r="E1625" s="1"/>
      <c r="F1625" s="279"/>
      <c r="G1625" s="1"/>
      <c r="J1625" s="34"/>
    </row>
    <row r="1626" spans="1:10">
      <c r="A1626" s="1"/>
      <c r="B1626" s="204"/>
      <c r="C1626" s="1"/>
      <c r="D1626" s="1"/>
      <c r="E1626" s="1"/>
      <c r="F1626" s="279"/>
      <c r="G1626" s="1"/>
      <c r="J1626" s="34"/>
    </row>
    <row r="1627" spans="1:10">
      <c r="A1627" s="1"/>
      <c r="B1627" s="204"/>
      <c r="C1627" s="1"/>
      <c r="D1627" s="1"/>
      <c r="E1627" s="1"/>
      <c r="F1627" s="279"/>
      <c r="G1627" s="1"/>
      <c r="J1627" s="34"/>
    </row>
    <row r="1628" spans="1:10">
      <c r="A1628" s="1"/>
      <c r="B1628" s="204"/>
      <c r="C1628" s="1"/>
      <c r="D1628" s="1"/>
      <c r="E1628" s="1"/>
      <c r="F1628" s="279"/>
      <c r="G1628" s="1"/>
      <c r="J1628" s="34"/>
    </row>
    <row r="1629" spans="1:10">
      <c r="A1629" s="1"/>
      <c r="B1629" s="204"/>
      <c r="C1629" s="1"/>
      <c r="D1629" s="1"/>
      <c r="E1629" s="1"/>
      <c r="F1629" s="279"/>
      <c r="G1629" s="1"/>
      <c r="J1629" s="34"/>
    </row>
    <row r="1630" spans="1:10">
      <c r="A1630" s="1"/>
      <c r="B1630" s="204"/>
      <c r="C1630" s="1"/>
      <c r="D1630" s="1"/>
      <c r="E1630" s="1"/>
      <c r="F1630" s="279"/>
      <c r="G1630" s="1"/>
      <c r="J1630" s="34"/>
    </row>
    <row r="1631" spans="1:10">
      <c r="A1631" s="1"/>
      <c r="B1631" s="204"/>
      <c r="C1631" s="1"/>
      <c r="D1631" s="1"/>
      <c r="E1631" s="1"/>
      <c r="F1631" s="279"/>
      <c r="G1631" s="1"/>
      <c r="J1631" s="34"/>
    </row>
    <row r="1632" spans="1:10">
      <c r="A1632" s="1"/>
      <c r="B1632" s="204"/>
      <c r="C1632" s="1"/>
      <c r="D1632" s="1"/>
      <c r="E1632" s="1"/>
      <c r="F1632" s="279"/>
      <c r="G1632" s="1"/>
      <c r="J1632" s="34"/>
    </row>
    <row r="1633" spans="1:10">
      <c r="A1633" s="1"/>
      <c r="B1633" s="204"/>
      <c r="C1633" s="1"/>
      <c r="D1633" s="1"/>
      <c r="E1633" s="1"/>
      <c r="F1633" s="279"/>
      <c r="G1633" s="1"/>
      <c r="J1633" s="34"/>
    </row>
    <row r="1634" spans="1:10">
      <c r="A1634" s="1"/>
      <c r="B1634" s="204"/>
      <c r="C1634" s="1"/>
      <c r="D1634" s="1"/>
      <c r="E1634" s="1"/>
      <c r="F1634" s="279"/>
      <c r="G1634" s="1"/>
      <c r="J1634" s="34"/>
    </row>
    <row r="1635" spans="1:10">
      <c r="A1635" s="1"/>
      <c r="B1635" s="204"/>
      <c r="C1635" s="1"/>
      <c r="D1635" s="1"/>
      <c r="E1635" s="1"/>
      <c r="F1635" s="279"/>
      <c r="G1635" s="1"/>
      <c r="J1635" s="34"/>
    </row>
    <row r="1636" spans="1:10">
      <c r="A1636" s="1"/>
      <c r="B1636" s="204"/>
      <c r="C1636" s="1"/>
      <c r="D1636" s="1"/>
      <c r="E1636" s="1"/>
      <c r="F1636" s="279"/>
      <c r="G1636" s="1"/>
      <c r="J1636" s="34"/>
    </row>
    <row r="1637" spans="1:10">
      <c r="A1637" s="1"/>
      <c r="B1637" s="204"/>
      <c r="C1637" s="1"/>
      <c r="D1637" s="1"/>
      <c r="E1637" s="1"/>
      <c r="F1637" s="279"/>
      <c r="G1637" s="1"/>
      <c r="J1637" s="34"/>
    </row>
    <row r="1638" spans="1:10">
      <c r="A1638" s="1"/>
      <c r="B1638" s="204"/>
      <c r="C1638" s="1"/>
      <c r="D1638" s="1"/>
      <c r="E1638" s="1"/>
      <c r="F1638" s="279"/>
      <c r="G1638" s="1"/>
      <c r="J1638" s="34"/>
    </row>
    <row r="1639" spans="1:10">
      <c r="A1639" s="1"/>
      <c r="B1639" s="204"/>
      <c r="C1639" s="1"/>
      <c r="D1639" s="1"/>
      <c r="E1639" s="1"/>
      <c r="F1639" s="279"/>
      <c r="G1639" s="1"/>
      <c r="J1639" s="34"/>
    </row>
    <row r="1640" spans="1:10">
      <c r="A1640" s="1"/>
      <c r="B1640" s="204"/>
      <c r="C1640" s="1"/>
      <c r="D1640" s="1"/>
      <c r="E1640" s="1"/>
      <c r="F1640" s="279"/>
      <c r="G1640" s="1"/>
      <c r="J1640" s="34"/>
    </row>
    <row r="1641" spans="1:10">
      <c r="A1641" s="1"/>
      <c r="B1641" s="204"/>
      <c r="C1641" s="1"/>
      <c r="D1641" s="1"/>
      <c r="E1641" s="1"/>
      <c r="F1641" s="279"/>
      <c r="G1641" s="1"/>
      <c r="J1641" s="34"/>
    </row>
    <row r="1642" spans="1:10">
      <c r="A1642" s="1"/>
      <c r="B1642" s="204"/>
      <c r="C1642" s="1"/>
      <c r="D1642" s="1"/>
      <c r="E1642" s="1"/>
      <c r="F1642" s="279"/>
      <c r="G1642" s="1"/>
      <c r="J1642" s="34"/>
    </row>
    <row r="1643" spans="1:10">
      <c r="A1643" s="1"/>
      <c r="B1643" s="204"/>
      <c r="C1643" s="1"/>
      <c r="D1643" s="1"/>
      <c r="E1643" s="1"/>
      <c r="F1643" s="279"/>
      <c r="G1643" s="1"/>
      <c r="J1643" s="34"/>
    </row>
    <row r="1644" spans="1:10">
      <c r="A1644" s="1"/>
      <c r="B1644" s="204"/>
      <c r="C1644" s="1"/>
      <c r="D1644" s="1"/>
      <c r="E1644" s="1"/>
      <c r="F1644" s="279"/>
      <c r="G1644" s="1"/>
      <c r="J1644" s="34"/>
    </row>
    <row r="1645" spans="1:10">
      <c r="A1645" s="1"/>
      <c r="B1645" s="204"/>
      <c r="C1645" s="1"/>
      <c r="D1645" s="1"/>
      <c r="E1645" s="1"/>
      <c r="F1645" s="279"/>
      <c r="G1645" s="1"/>
      <c r="J1645" s="34"/>
    </row>
    <row r="1646" spans="1:10">
      <c r="A1646" s="1"/>
      <c r="B1646" s="204"/>
      <c r="C1646" s="1"/>
      <c r="D1646" s="1"/>
      <c r="E1646" s="1"/>
      <c r="F1646" s="279"/>
      <c r="G1646" s="1"/>
      <c r="J1646" s="34"/>
    </row>
    <row r="1647" spans="1:10">
      <c r="A1647" s="1"/>
      <c r="B1647" s="204"/>
      <c r="C1647" s="1"/>
      <c r="D1647" s="1"/>
      <c r="E1647" s="1"/>
      <c r="F1647" s="279"/>
      <c r="G1647" s="1"/>
      <c r="J1647" s="34"/>
    </row>
    <row r="1648" spans="1:10">
      <c r="A1648" s="1"/>
      <c r="B1648" s="204"/>
      <c r="C1648" s="1"/>
      <c r="D1648" s="1"/>
      <c r="E1648" s="1"/>
      <c r="F1648" s="279"/>
      <c r="G1648" s="1"/>
      <c r="J1648" s="34"/>
    </row>
    <row r="1649" spans="1:10">
      <c r="A1649" s="1"/>
      <c r="B1649" s="204"/>
      <c r="C1649" s="1"/>
      <c r="D1649" s="1"/>
      <c r="E1649" s="1"/>
      <c r="F1649" s="279"/>
      <c r="G1649" s="1"/>
      <c r="J1649" s="34"/>
    </row>
    <row r="1650" spans="1:10">
      <c r="A1650" s="1"/>
      <c r="B1650" s="204"/>
      <c r="C1650" s="1"/>
      <c r="D1650" s="1"/>
      <c r="E1650" s="1"/>
      <c r="F1650" s="279"/>
      <c r="G1650" s="1"/>
      <c r="J1650" s="34"/>
    </row>
    <row r="1651" spans="1:10">
      <c r="A1651" s="1"/>
      <c r="B1651" s="204"/>
      <c r="C1651" s="1"/>
      <c r="D1651" s="1"/>
      <c r="E1651" s="1"/>
      <c r="F1651" s="279"/>
      <c r="G1651" s="1"/>
      <c r="J1651" s="34"/>
    </row>
    <row r="1652" spans="1:10">
      <c r="A1652" s="1"/>
      <c r="B1652" s="204"/>
      <c r="C1652" s="1"/>
      <c r="D1652" s="1"/>
      <c r="E1652" s="1"/>
      <c r="F1652" s="279"/>
      <c r="G1652" s="1"/>
      <c r="J1652" s="34"/>
    </row>
    <row r="1653" spans="1:10">
      <c r="A1653" s="1"/>
      <c r="B1653" s="204"/>
      <c r="C1653" s="1"/>
      <c r="D1653" s="1"/>
      <c r="E1653" s="1"/>
      <c r="F1653" s="279"/>
      <c r="G1653" s="1"/>
      <c r="J1653" s="34"/>
    </row>
    <row r="1654" spans="1:10">
      <c r="A1654" s="1"/>
      <c r="B1654" s="204"/>
      <c r="C1654" s="1"/>
      <c r="D1654" s="1"/>
      <c r="E1654" s="1"/>
      <c r="F1654" s="279"/>
      <c r="G1654" s="1"/>
      <c r="J1654" s="34"/>
    </row>
    <row r="1655" spans="1:10">
      <c r="A1655" s="1"/>
      <c r="B1655" s="204"/>
      <c r="C1655" s="1"/>
      <c r="D1655" s="1"/>
      <c r="E1655" s="1"/>
      <c r="F1655" s="279"/>
      <c r="G1655" s="1"/>
      <c r="J1655" s="34"/>
    </row>
    <row r="1656" spans="1:10">
      <c r="A1656" s="1"/>
      <c r="B1656" s="204"/>
      <c r="C1656" s="1"/>
      <c r="D1656" s="1"/>
      <c r="E1656" s="1"/>
      <c r="F1656" s="279"/>
      <c r="G1656" s="1"/>
      <c r="J1656" s="34"/>
    </row>
    <row r="1657" spans="1:10">
      <c r="A1657" s="1"/>
      <c r="B1657" s="204"/>
      <c r="C1657" s="1"/>
      <c r="D1657" s="1"/>
      <c r="E1657" s="1"/>
      <c r="F1657" s="279"/>
      <c r="G1657" s="1"/>
      <c r="J1657" s="34"/>
    </row>
    <row r="1658" spans="1:10">
      <c r="A1658" s="1"/>
      <c r="B1658" s="204"/>
      <c r="C1658" s="1"/>
      <c r="D1658" s="1"/>
      <c r="E1658" s="1"/>
      <c r="F1658" s="279"/>
      <c r="G1658" s="1"/>
      <c r="J1658" s="34"/>
    </row>
    <row r="1659" spans="1:10">
      <c r="A1659" s="1"/>
      <c r="B1659" s="204"/>
      <c r="C1659" s="1"/>
      <c r="D1659" s="1"/>
      <c r="E1659" s="1"/>
      <c r="F1659" s="279"/>
      <c r="G1659" s="1"/>
      <c r="J1659" s="34"/>
    </row>
    <row r="1660" spans="1:10">
      <c r="A1660" s="1"/>
      <c r="B1660" s="204"/>
      <c r="C1660" s="1"/>
      <c r="D1660" s="1"/>
      <c r="E1660" s="1"/>
      <c r="F1660" s="279"/>
      <c r="G1660" s="1"/>
      <c r="J1660" s="34"/>
    </row>
    <row r="1661" spans="1:10">
      <c r="A1661" s="1"/>
      <c r="B1661" s="204"/>
      <c r="C1661" s="1"/>
      <c r="D1661" s="1"/>
      <c r="E1661" s="1"/>
      <c r="F1661" s="279"/>
      <c r="G1661" s="1"/>
      <c r="J1661" s="34"/>
    </row>
    <row r="1662" spans="1:10">
      <c r="A1662" s="1"/>
      <c r="B1662" s="204"/>
      <c r="C1662" s="1"/>
      <c r="D1662" s="1"/>
      <c r="E1662" s="1"/>
      <c r="F1662" s="279"/>
      <c r="G1662" s="1"/>
      <c r="J1662" s="34"/>
    </row>
    <row r="1663" spans="1:10">
      <c r="A1663" s="1"/>
      <c r="B1663" s="204"/>
      <c r="C1663" s="1"/>
      <c r="D1663" s="1"/>
      <c r="E1663" s="1"/>
      <c r="F1663" s="279"/>
      <c r="G1663" s="1"/>
      <c r="J1663" s="34"/>
    </row>
    <row r="1664" spans="1:10">
      <c r="A1664" s="1"/>
      <c r="B1664" s="204"/>
      <c r="C1664" s="1"/>
      <c r="D1664" s="1"/>
      <c r="E1664" s="1"/>
      <c r="F1664" s="279"/>
      <c r="G1664" s="1"/>
      <c r="J1664" s="34"/>
    </row>
    <row r="1665" spans="1:10">
      <c r="A1665" s="1"/>
      <c r="B1665" s="204"/>
      <c r="C1665" s="1"/>
      <c r="D1665" s="1"/>
      <c r="E1665" s="1"/>
      <c r="F1665" s="279"/>
      <c r="G1665" s="1"/>
      <c r="J1665" s="34"/>
    </row>
    <row r="1666" spans="1:10">
      <c r="A1666" s="1"/>
      <c r="B1666" s="204"/>
      <c r="C1666" s="1"/>
      <c r="D1666" s="1"/>
      <c r="E1666" s="1"/>
      <c r="F1666" s="279"/>
      <c r="G1666" s="1"/>
      <c r="J1666" s="34"/>
    </row>
    <row r="1667" spans="1:10">
      <c r="A1667" s="1"/>
      <c r="B1667" s="204"/>
      <c r="C1667" s="1"/>
      <c r="D1667" s="1"/>
      <c r="E1667" s="1"/>
      <c r="F1667" s="279"/>
      <c r="G1667" s="1"/>
      <c r="J1667" s="34"/>
    </row>
    <row r="1668" spans="1:10">
      <c r="A1668" s="1"/>
      <c r="B1668" s="204"/>
      <c r="C1668" s="1"/>
      <c r="D1668" s="1"/>
      <c r="E1668" s="1"/>
      <c r="F1668" s="279"/>
      <c r="G1668" s="1"/>
      <c r="J1668" s="34"/>
    </row>
    <row r="1669" spans="1:10">
      <c r="A1669" s="1"/>
      <c r="B1669" s="204"/>
      <c r="C1669" s="1"/>
      <c r="D1669" s="1"/>
      <c r="E1669" s="1"/>
      <c r="F1669" s="279"/>
      <c r="G1669" s="1"/>
      <c r="J1669" s="34"/>
    </row>
    <row r="1670" spans="1:10">
      <c r="A1670" s="1"/>
      <c r="B1670" s="204"/>
      <c r="C1670" s="1"/>
      <c r="D1670" s="1"/>
      <c r="E1670" s="1"/>
      <c r="F1670" s="279"/>
      <c r="G1670" s="1"/>
      <c r="J1670" s="34"/>
    </row>
    <row r="1671" spans="1:10">
      <c r="A1671" s="1"/>
      <c r="B1671" s="204"/>
      <c r="C1671" s="1"/>
      <c r="D1671" s="1"/>
      <c r="E1671" s="1"/>
      <c r="F1671" s="279"/>
      <c r="G1671" s="1"/>
      <c r="J1671" s="34"/>
    </row>
    <row r="1672" spans="1:10">
      <c r="A1672" s="1"/>
      <c r="B1672" s="204"/>
      <c r="C1672" s="1"/>
      <c r="D1672" s="1"/>
      <c r="E1672" s="1"/>
      <c r="F1672" s="279"/>
      <c r="G1672" s="1"/>
      <c r="J1672" s="34"/>
    </row>
    <row r="1673" spans="1:10">
      <c r="A1673" s="1"/>
      <c r="B1673" s="204"/>
      <c r="C1673" s="1"/>
      <c r="D1673" s="1"/>
      <c r="E1673" s="1"/>
      <c r="F1673" s="279"/>
      <c r="G1673" s="1"/>
      <c r="J1673" s="34"/>
    </row>
    <row r="1674" spans="1:10">
      <c r="A1674" s="1"/>
      <c r="B1674" s="204"/>
      <c r="C1674" s="1"/>
      <c r="D1674" s="1"/>
      <c r="E1674" s="1"/>
      <c r="F1674" s="279"/>
      <c r="G1674" s="1"/>
      <c r="J1674" s="34"/>
    </row>
    <row r="1675" spans="1:10">
      <c r="A1675" s="1"/>
      <c r="B1675" s="204"/>
      <c r="C1675" s="1"/>
      <c r="D1675" s="1"/>
      <c r="E1675" s="1"/>
      <c r="F1675" s="279"/>
      <c r="G1675" s="1"/>
      <c r="J1675" s="34"/>
    </row>
    <row r="1676" spans="1:10">
      <c r="A1676" s="1"/>
      <c r="B1676" s="204"/>
      <c r="C1676" s="1"/>
      <c r="D1676" s="1"/>
      <c r="E1676" s="1"/>
      <c r="F1676" s="279"/>
      <c r="G1676" s="1"/>
      <c r="J1676" s="34"/>
    </row>
    <row r="1677" spans="1:10">
      <c r="A1677" s="1"/>
      <c r="B1677" s="204"/>
      <c r="C1677" s="1"/>
      <c r="D1677" s="1"/>
      <c r="E1677" s="1"/>
      <c r="F1677" s="279"/>
      <c r="G1677" s="1"/>
      <c r="J1677" s="34"/>
    </row>
    <row r="1678" spans="1:10">
      <c r="A1678" s="1"/>
      <c r="B1678" s="204"/>
      <c r="C1678" s="1"/>
      <c r="D1678" s="1"/>
      <c r="E1678" s="1"/>
      <c r="F1678" s="279"/>
      <c r="G1678" s="1"/>
      <c r="J1678" s="34"/>
    </row>
    <row r="1679" spans="1:10">
      <c r="A1679" s="1"/>
      <c r="B1679" s="204"/>
      <c r="C1679" s="1"/>
      <c r="D1679" s="1"/>
      <c r="E1679" s="1"/>
      <c r="F1679" s="279"/>
      <c r="G1679" s="1"/>
      <c r="J1679" s="34"/>
    </row>
    <row r="1680" spans="1:10">
      <c r="A1680" s="1"/>
      <c r="B1680" s="204"/>
      <c r="C1680" s="1"/>
      <c r="D1680" s="1"/>
      <c r="E1680" s="1"/>
      <c r="F1680" s="279"/>
      <c r="G1680" s="1"/>
      <c r="J1680" s="34"/>
    </row>
    <row r="1681" spans="1:10">
      <c r="A1681" s="1"/>
      <c r="B1681" s="204"/>
      <c r="C1681" s="1"/>
      <c r="D1681" s="1"/>
      <c r="E1681" s="1"/>
      <c r="F1681" s="279"/>
      <c r="G1681" s="1"/>
      <c r="J1681" s="34"/>
    </row>
    <row r="1682" spans="1:10">
      <c r="A1682" s="1"/>
      <c r="B1682" s="204"/>
      <c r="C1682" s="1"/>
      <c r="D1682" s="1"/>
      <c r="E1682" s="1"/>
      <c r="F1682" s="279"/>
      <c r="G1682" s="1"/>
      <c r="J1682" s="34"/>
    </row>
    <row r="1683" spans="1:10">
      <c r="A1683" s="1"/>
      <c r="B1683" s="204"/>
      <c r="C1683" s="1"/>
      <c r="D1683" s="1"/>
      <c r="E1683" s="1"/>
      <c r="F1683" s="279"/>
      <c r="G1683" s="1"/>
      <c r="J1683" s="34"/>
    </row>
    <row r="1684" spans="1:10">
      <c r="A1684" s="1"/>
      <c r="B1684" s="204"/>
      <c r="C1684" s="1"/>
      <c r="D1684" s="1"/>
      <c r="E1684" s="1"/>
      <c r="F1684" s="279"/>
      <c r="G1684" s="1"/>
      <c r="J1684" s="34"/>
    </row>
    <row r="1685" spans="1:10">
      <c r="A1685" s="1"/>
      <c r="B1685" s="204"/>
      <c r="C1685" s="1"/>
      <c r="D1685" s="1"/>
      <c r="E1685" s="1"/>
      <c r="F1685" s="279"/>
      <c r="G1685" s="1"/>
      <c r="J1685" s="34"/>
    </row>
    <row r="1686" spans="1:10">
      <c r="A1686" s="1"/>
      <c r="B1686" s="204"/>
      <c r="C1686" s="1"/>
      <c r="D1686" s="1"/>
      <c r="E1686" s="1"/>
      <c r="F1686" s="279"/>
      <c r="G1686" s="1"/>
      <c r="J1686" s="34"/>
    </row>
    <row r="1687" spans="1:10">
      <c r="A1687" s="1"/>
      <c r="B1687" s="204"/>
      <c r="C1687" s="1"/>
      <c r="D1687" s="1"/>
      <c r="E1687" s="1"/>
      <c r="F1687" s="279"/>
      <c r="G1687" s="1"/>
      <c r="J1687" s="34"/>
    </row>
    <row r="1688" spans="1:10">
      <c r="A1688" s="1"/>
      <c r="B1688" s="204"/>
      <c r="C1688" s="1"/>
      <c r="D1688" s="1"/>
      <c r="E1688" s="1"/>
      <c r="F1688" s="279"/>
      <c r="G1688" s="1"/>
      <c r="J1688" s="34"/>
    </row>
    <row r="1689" spans="1:10">
      <c r="A1689" s="1"/>
      <c r="B1689" s="204"/>
      <c r="C1689" s="1"/>
      <c r="D1689" s="1"/>
      <c r="E1689" s="1"/>
      <c r="F1689" s="279"/>
      <c r="G1689" s="1"/>
      <c r="J1689" s="34"/>
    </row>
    <row r="1690" spans="1:10">
      <c r="A1690" s="1"/>
      <c r="B1690" s="204"/>
      <c r="C1690" s="1"/>
      <c r="D1690" s="1"/>
      <c r="E1690" s="1"/>
      <c r="F1690" s="279"/>
      <c r="G1690" s="1"/>
      <c r="J1690" s="34"/>
    </row>
    <row r="1691" spans="1:10">
      <c r="A1691" s="1"/>
      <c r="B1691" s="204"/>
      <c r="C1691" s="1"/>
      <c r="D1691" s="1"/>
      <c r="E1691" s="1"/>
      <c r="F1691" s="279"/>
      <c r="G1691" s="1"/>
      <c r="J1691" s="34"/>
    </row>
    <row r="1692" spans="1:10">
      <c r="A1692" s="1"/>
      <c r="B1692" s="204"/>
      <c r="C1692" s="1"/>
      <c r="D1692" s="1"/>
      <c r="E1692" s="1"/>
      <c r="F1692" s="279"/>
      <c r="G1692" s="1"/>
      <c r="J1692" s="34"/>
    </row>
    <row r="1693" spans="1:10">
      <c r="A1693" s="1"/>
      <c r="B1693" s="204"/>
      <c r="C1693" s="1"/>
      <c r="D1693" s="1"/>
      <c r="E1693" s="1"/>
      <c r="F1693" s="279"/>
      <c r="G1693" s="1"/>
      <c r="J1693" s="34"/>
    </row>
    <row r="1694" spans="1:10">
      <c r="A1694" s="1"/>
      <c r="B1694" s="204"/>
      <c r="C1694" s="1"/>
      <c r="D1694" s="1"/>
      <c r="E1694" s="1"/>
      <c r="F1694" s="279"/>
      <c r="G1694" s="1"/>
      <c r="J1694" s="34"/>
    </row>
    <row r="1695" spans="1:10">
      <c r="A1695" s="1"/>
      <c r="B1695" s="204"/>
      <c r="C1695" s="1"/>
      <c r="D1695" s="1"/>
      <c r="E1695" s="1"/>
      <c r="F1695" s="279"/>
      <c r="G1695" s="1"/>
      <c r="J1695" s="34"/>
    </row>
    <row r="1696" spans="1:10">
      <c r="A1696" s="1"/>
      <c r="B1696" s="204"/>
      <c r="C1696" s="1"/>
      <c r="D1696" s="1"/>
      <c r="E1696" s="1"/>
      <c r="F1696" s="279"/>
      <c r="G1696" s="1"/>
      <c r="J1696" s="34"/>
    </row>
    <row r="1697" spans="1:10">
      <c r="A1697" s="1"/>
      <c r="B1697" s="204"/>
      <c r="C1697" s="1"/>
      <c r="D1697" s="1"/>
      <c r="E1697" s="1"/>
      <c r="F1697" s="279"/>
      <c r="G1697" s="1"/>
      <c r="J1697" s="34"/>
    </row>
    <row r="1698" spans="1:10">
      <c r="A1698" s="1"/>
      <c r="B1698" s="204"/>
      <c r="C1698" s="1"/>
      <c r="D1698" s="1"/>
      <c r="E1698" s="1"/>
      <c r="F1698" s="279"/>
      <c r="G1698" s="1"/>
      <c r="J1698" s="34"/>
    </row>
    <row r="1699" spans="1:10">
      <c r="A1699" s="1"/>
      <c r="B1699" s="204"/>
      <c r="C1699" s="1"/>
      <c r="D1699" s="1"/>
      <c r="E1699" s="1"/>
      <c r="F1699" s="279"/>
      <c r="G1699" s="1"/>
      <c r="J1699" s="34"/>
    </row>
    <row r="1700" spans="1:10">
      <c r="A1700" s="1"/>
      <c r="B1700" s="204"/>
      <c r="C1700" s="1"/>
      <c r="D1700" s="1"/>
      <c r="E1700" s="1"/>
      <c r="F1700" s="279"/>
      <c r="G1700" s="1"/>
      <c r="J1700" s="34"/>
    </row>
    <row r="1701" spans="1:10">
      <c r="A1701" s="1"/>
      <c r="B1701" s="204"/>
      <c r="C1701" s="1"/>
      <c r="D1701" s="1"/>
      <c r="E1701" s="1"/>
      <c r="F1701" s="279"/>
      <c r="G1701" s="1"/>
      <c r="J1701" s="34"/>
    </row>
    <row r="1702" spans="1:10">
      <c r="A1702" s="1"/>
      <c r="B1702" s="204"/>
      <c r="C1702" s="1"/>
      <c r="D1702" s="1"/>
      <c r="E1702" s="1"/>
      <c r="F1702" s="279"/>
      <c r="G1702" s="1"/>
      <c r="J1702" s="34"/>
    </row>
    <row r="1703" spans="1:10">
      <c r="A1703" s="1"/>
      <c r="B1703" s="204"/>
      <c r="C1703" s="1"/>
      <c r="D1703" s="1"/>
      <c r="E1703" s="1"/>
      <c r="F1703" s="279"/>
      <c r="G1703" s="1"/>
      <c r="J1703" s="34"/>
    </row>
    <row r="1704" spans="1:10">
      <c r="A1704" s="1"/>
      <c r="B1704" s="204"/>
      <c r="C1704" s="1"/>
      <c r="D1704" s="1"/>
      <c r="E1704" s="1"/>
      <c r="F1704" s="279"/>
      <c r="G1704" s="1"/>
      <c r="J1704" s="34"/>
    </row>
    <row r="1705" spans="1:10">
      <c r="A1705" s="1"/>
      <c r="B1705" s="204"/>
      <c r="C1705" s="1"/>
      <c r="D1705" s="1"/>
      <c r="E1705" s="1"/>
      <c r="F1705" s="279"/>
      <c r="G1705" s="1"/>
      <c r="J1705" s="34"/>
    </row>
    <row r="1706" spans="1:10">
      <c r="A1706" s="1"/>
      <c r="B1706" s="204"/>
      <c r="C1706" s="1"/>
      <c r="D1706" s="1"/>
      <c r="E1706" s="1"/>
      <c r="F1706" s="279"/>
      <c r="G1706" s="1"/>
      <c r="J1706" s="34"/>
    </row>
    <row r="1707" spans="1:10">
      <c r="A1707" s="1"/>
      <c r="B1707" s="204"/>
      <c r="C1707" s="1"/>
      <c r="D1707" s="1"/>
      <c r="E1707" s="1"/>
      <c r="F1707" s="279"/>
      <c r="G1707" s="1"/>
      <c r="J1707" s="34"/>
    </row>
    <row r="1708" spans="1:10">
      <c r="A1708" s="1"/>
      <c r="B1708" s="204"/>
      <c r="C1708" s="1"/>
      <c r="D1708" s="1"/>
      <c r="E1708" s="1"/>
      <c r="F1708" s="279"/>
      <c r="G1708" s="1"/>
      <c r="J1708" s="34"/>
    </row>
    <row r="1709" spans="1:10">
      <c r="A1709" s="1"/>
      <c r="B1709" s="204"/>
      <c r="C1709" s="1"/>
      <c r="D1709" s="1"/>
      <c r="E1709" s="1"/>
      <c r="F1709" s="279"/>
      <c r="G1709" s="1"/>
      <c r="J1709" s="34"/>
    </row>
    <row r="1710" spans="1:10">
      <c r="A1710" s="1"/>
      <c r="B1710" s="204"/>
      <c r="C1710" s="1"/>
      <c r="D1710" s="1"/>
      <c r="E1710" s="1"/>
      <c r="F1710" s="279"/>
      <c r="G1710" s="1"/>
      <c r="J1710" s="34"/>
    </row>
    <row r="1711" spans="1:10">
      <c r="A1711" s="1"/>
      <c r="B1711" s="204"/>
      <c r="C1711" s="1"/>
      <c r="D1711" s="1"/>
      <c r="E1711" s="1"/>
      <c r="F1711" s="279"/>
      <c r="G1711" s="1"/>
      <c r="J1711" s="34"/>
    </row>
    <row r="1712" spans="1:10">
      <c r="A1712" s="1"/>
      <c r="B1712" s="204"/>
      <c r="C1712" s="1"/>
      <c r="D1712" s="1"/>
      <c r="E1712" s="1"/>
      <c r="F1712" s="279"/>
      <c r="G1712" s="1"/>
      <c r="J1712" s="34"/>
    </row>
    <row r="1713" spans="1:10">
      <c r="A1713" s="1"/>
      <c r="B1713" s="204"/>
      <c r="C1713" s="1"/>
      <c r="D1713" s="1"/>
      <c r="E1713" s="1"/>
      <c r="F1713" s="279"/>
      <c r="G1713" s="1"/>
      <c r="J1713" s="34"/>
    </row>
    <row r="1714" spans="1:10">
      <c r="A1714" s="1"/>
      <c r="B1714" s="204"/>
      <c r="C1714" s="1"/>
      <c r="D1714" s="1"/>
      <c r="E1714" s="1"/>
      <c r="F1714" s="279"/>
      <c r="G1714" s="1"/>
      <c r="J1714" s="34"/>
    </row>
    <row r="1715" spans="1:10">
      <c r="A1715" s="1"/>
      <c r="B1715" s="204"/>
      <c r="C1715" s="1"/>
      <c r="D1715" s="1"/>
      <c r="E1715" s="1"/>
      <c r="F1715" s="279"/>
      <c r="G1715" s="1"/>
      <c r="J1715" s="34"/>
    </row>
    <row r="1716" spans="1:10">
      <c r="A1716" s="1"/>
      <c r="B1716" s="204"/>
      <c r="C1716" s="1"/>
      <c r="D1716" s="1"/>
      <c r="E1716" s="1"/>
      <c r="F1716" s="279"/>
      <c r="G1716" s="1"/>
      <c r="J1716" s="34"/>
    </row>
    <row r="1717" spans="1:10">
      <c r="A1717" s="1"/>
      <c r="B1717" s="204"/>
      <c r="C1717" s="1"/>
      <c r="D1717" s="1"/>
      <c r="E1717" s="1"/>
      <c r="F1717" s="279"/>
      <c r="G1717" s="1"/>
      <c r="J1717" s="34"/>
    </row>
    <row r="1718" spans="1:10">
      <c r="A1718" s="1"/>
      <c r="B1718" s="204"/>
      <c r="C1718" s="1"/>
      <c r="D1718" s="1"/>
      <c r="E1718" s="1"/>
      <c r="F1718" s="279"/>
      <c r="G1718" s="1"/>
      <c r="J1718" s="34"/>
    </row>
    <row r="1719" spans="1:10">
      <c r="A1719" s="1"/>
      <c r="B1719" s="204"/>
      <c r="C1719" s="1"/>
      <c r="D1719" s="1"/>
      <c r="E1719" s="1"/>
      <c r="F1719" s="279"/>
      <c r="G1719" s="1"/>
      <c r="J1719" s="34"/>
    </row>
    <row r="1720" spans="1:10">
      <c r="A1720" s="1"/>
      <c r="B1720" s="204"/>
      <c r="C1720" s="1"/>
      <c r="D1720" s="1"/>
      <c r="E1720" s="1"/>
      <c r="F1720" s="279"/>
      <c r="G1720" s="1"/>
      <c r="J1720" s="34"/>
    </row>
    <row r="1721" spans="1:10">
      <c r="A1721" s="1"/>
      <c r="B1721" s="204"/>
      <c r="C1721" s="1"/>
      <c r="D1721" s="1"/>
      <c r="E1721" s="1"/>
      <c r="F1721" s="279"/>
      <c r="G1721" s="1"/>
      <c r="J1721" s="34"/>
    </row>
    <row r="1722" spans="1:10">
      <c r="A1722" s="1"/>
      <c r="B1722" s="204"/>
      <c r="C1722" s="1"/>
      <c r="D1722" s="1"/>
      <c r="E1722" s="1"/>
      <c r="F1722" s="279"/>
      <c r="G1722" s="1"/>
      <c r="J1722" s="34"/>
    </row>
    <row r="1723" spans="1:10">
      <c r="A1723" s="1"/>
      <c r="B1723" s="204"/>
      <c r="C1723" s="1"/>
      <c r="D1723" s="1"/>
      <c r="E1723" s="1"/>
      <c r="F1723" s="279"/>
      <c r="G1723" s="1"/>
      <c r="J1723" s="34"/>
    </row>
    <row r="1724" spans="1:10">
      <c r="A1724" s="1"/>
      <c r="B1724" s="204"/>
      <c r="C1724" s="1"/>
      <c r="D1724" s="1"/>
      <c r="E1724" s="1"/>
      <c r="F1724" s="279"/>
      <c r="G1724" s="1"/>
      <c r="J1724" s="34"/>
    </row>
    <row r="1725" spans="1:10">
      <c r="A1725" s="1"/>
      <c r="B1725" s="204"/>
      <c r="C1725" s="1"/>
      <c r="D1725" s="1"/>
      <c r="E1725" s="1"/>
      <c r="F1725" s="279"/>
      <c r="G1725" s="1"/>
      <c r="J1725" s="34"/>
    </row>
    <row r="1726" spans="1:10">
      <c r="A1726" s="1"/>
      <c r="B1726" s="204"/>
      <c r="C1726" s="1"/>
      <c r="D1726" s="1"/>
      <c r="E1726" s="1"/>
      <c r="F1726" s="279"/>
      <c r="G1726" s="1"/>
      <c r="J1726" s="34"/>
    </row>
    <row r="1727" spans="1:10">
      <c r="A1727" s="1"/>
      <c r="B1727" s="204"/>
      <c r="C1727" s="1"/>
      <c r="D1727" s="1"/>
      <c r="E1727" s="1"/>
      <c r="F1727" s="279"/>
      <c r="G1727" s="1"/>
      <c r="J1727" s="34"/>
    </row>
    <row r="1728" spans="1:10">
      <c r="A1728" s="1"/>
      <c r="B1728" s="204"/>
      <c r="C1728" s="1"/>
      <c r="D1728" s="1"/>
      <c r="E1728" s="1"/>
      <c r="F1728" s="279"/>
      <c r="G1728" s="1"/>
      <c r="J1728" s="34"/>
    </row>
    <row r="1729" spans="1:10">
      <c r="A1729" s="1"/>
      <c r="B1729" s="204"/>
      <c r="C1729" s="1"/>
      <c r="D1729" s="1"/>
      <c r="E1729" s="1"/>
      <c r="F1729" s="279"/>
      <c r="G1729" s="1"/>
      <c r="J1729" s="34"/>
    </row>
    <row r="1730" spans="1:10">
      <c r="A1730" s="1"/>
      <c r="B1730" s="204"/>
      <c r="C1730" s="1"/>
      <c r="D1730" s="1"/>
      <c r="E1730" s="1"/>
      <c r="F1730" s="279"/>
      <c r="G1730" s="1"/>
      <c r="J1730" s="34"/>
    </row>
    <row r="1731" spans="1:10">
      <c r="A1731" s="1"/>
      <c r="B1731" s="204"/>
      <c r="C1731" s="1"/>
      <c r="D1731" s="1"/>
      <c r="E1731" s="1"/>
      <c r="F1731" s="279"/>
      <c r="G1731" s="1"/>
      <c r="J1731" s="34"/>
    </row>
    <row r="1732" spans="1:10">
      <c r="A1732" s="1"/>
      <c r="B1732" s="204"/>
      <c r="C1732" s="1"/>
      <c r="D1732" s="1"/>
      <c r="E1732" s="1"/>
      <c r="F1732" s="279"/>
      <c r="G1732" s="1"/>
      <c r="J1732" s="34"/>
    </row>
    <row r="1733" spans="1:10">
      <c r="A1733" s="1"/>
      <c r="B1733" s="204"/>
      <c r="C1733" s="1"/>
      <c r="D1733" s="1"/>
      <c r="E1733" s="1"/>
      <c r="F1733" s="279"/>
      <c r="G1733" s="1"/>
      <c r="J1733" s="34"/>
    </row>
    <row r="1734" spans="1:10">
      <c r="A1734" s="1"/>
      <c r="B1734" s="204"/>
      <c r="C1734" s="1"/>
      <c r="D1734" s="1"/>
      <c r="E1734" s="1"/>
      <c r="F1734" s="279"/>
      <c r="G1734" s="1"/>
      <c r="J1734" s="34"/>
    </row>
    <row r="1735" spans="1:10">
      <c r="A1735" s="1"/>
      <c r="B1735" s="204"/>
      <c r="C1735" s="1"/>
      <c r="D1735" s="1"/>
      <c r="E1735" s="1"/>
      <c r="F1735" s="279"/>
      <c r="G1735" s="1"/>
      <c r="J1735" s="34"/>
    </row>
    <row r="1736" spans="1:10">
      <c r="A1736" s="1"/>
      <c r="B1736" s="204"/>
      <c r="C1736" s="1"/>
      <c r="D1736" s="1"/>
      <c r="E1736" s="1"/>
      <c r="F1736" s="279"/>
      <c r="G1736" s="1"/>
      <c r="J1736" s="34"/>
    </row>
    <row r="1737" spans="1:10">
      <c r="A1737" s="1"/>
      <c r="B1737" s="204"/>
      <c r="C1737" s="1"/>
      <c r="D1737" s="1"/>
      <c r="E1737" s="1"/>
      <c r="F1737" s="279"/>
      <c r="G1737" s="1"/>
      <c r="J1737" s="34"/>
    </row>
    <row r="1738" spans="1:10">
      <c r="A1738" s="1"/>
      <c r="B1738" s="204"/>
      <c r="C1738" s="1"/>
      <c r="D1738" s="1"/>
      <c r="E1738" s="1"/>
      <c r="F1738" s="279"/>
      <c r="G1738" s="1"/>
      <c r="J1738" s="34"/>
    </row>
    <row r="1739" spans="1:10">
      <c r="A1739" s="1"/>
      <c r="B1739" s="204"/>
      <c r="C1739" s="1"/>
      <c r="D1739" s="1"/>
      <c r="E1739" s="1"/>
      <c r="F1739" s="279"/>
      <c r="G1739" s="1"/>
      <c r="J1739" s="34"/>
    </row>
    <row r="1740" spans="1:10">
      <c r="A1740" s="1"/>
      <c r="B1740" s="204"/>
      <c r="C1740" s="1"/>
      <c r="D1740" s="1"/>
      <c r="E1740" s="1"/>
      <c r="F1740" s="279"/>
      <c r="G1740" s="1"/>
      <c r="J1740" s="34"/>
    </row>
    <row r="1741" spans="1:10">
      <c r="A1741" s="1"/>
      <c r="B1741" s="204"/>
      <c r="C1741" s="1"/>
      <c r="D1741" s="1"/>
      <c r="E1741" s="1"/>
      <c r="F1741" s="279"/>
      <c r="G1741" s="1"/>
      <c r="J1741" s="34"/>
    </row>
    <row r="1742" spans="1:10">
      <c r="A1742" s="1"/>
      <c r="B1742" s="204"/>
      <c r="C1742" s="1"/>
      <c r="D1742" s="1"/>
      <c r="E1742" s="1"/>
      <c r="F1742" s="279"/>
      <c r="G1742" s="1"/>
      <c r="J1742" s="34"/>
    </row>
    <row r="1743" spans="1:10">
      <c r="A1743" s="1"/>
      <c r="B1743" s="204"/>
      <c r="C1743" s="1"/>
      <c r="D1743" s="1"/>
      <c r="E1743" s="1"/>
      <c r="F1743" s="279"/>
      <c r="G1743" s="1"/>
      <c r="J1743" s="34"/>
    </row>
    <row r="1744" spans="1:10">
      <c r="A1744" s="1"/>
      <c r="B1744" s="204"/>
      <c r="C1744" s="1"/>
      <c r="D1744" s="1"/>
      <c r="E1744" s="1"/>
      <c r="F1744" s="279"/>
      <c r="G1744" s="1"/>
      <c r="J1744" s="34"/>
    </row>
    <row r="1745" spans="1:10">
      <c r="A1745" s="1"/>
      <c r="B1745" s="204"/>
      <c r="C1745" s="1"/>
      <c r="D1745" s="1"/>
      <c r="E1745" s="1"/>
      <c r="F1745" s="279"/>
      <c r="G1745" s="1"/>
      <c r="J1745" s="34"/>
    </row>
    <row r="1746" spans="1:10">
      <c r="A1746" s="1"/>
      <c r="B1746" s="204"/>
      <c r="C1746" s="1"/>
      <c r="D1746" s="1"/>
      <c r="E1746" s="1"/>
      <c r="F1746" s="279"/>
      <c r="G1746" s="1"/>
      <c r="J1746" s="34"/>
    </row>
    <row r="1747" spans="1:10">
      <c r="A1747" s="1"/>
      <c r="B1747" s="204"/>
      <c r="C1747" s="1"/>
      <c r="D1747" s="1"/>
      <c r="E1747" s="1"/>
      <c r="F1747" s="279"/>
      <c r="G1747" s="1"/>
      <c r="J1747" s="34"/>
    </row>
    <row r="1748" spans="1:10">
      <c r="A1748" s="1"/>
      <c r="B1748" s="204"/>
      <c r="C1748" s="1"/>
      <c r="D1748" s="1"/>
      <c r="E1748" s="1"/>
      <c r="F1748" s="279"/>
      <c r="G1748" s="1"/>
      <c r="J1748" s="34"/>
    </row>
    <row r="1749" spans="1:10">
      <c r="A1749" s="1"/>
      <c r="B1749" s="204"/>
      <c r="C1749" s="1"/>
      <c r="D1749" s="1"/>
      <c r="E1749" s="1"/>
      <c r="F1749" s="279"/>
      <c r="G1749" s="1"/>
      <c r="J1749" s="34"/>
    </row>
    <row r="1750" spans="1:10">
      <c r="A1750" s="1"/>
      <c r="B1750" s="204"/>
      <c r="C1750" s="1"/>
      <c r="D1750" s="1"/>
      <c r="E1750" s="1"/>
      <c r="F1750" s="279"/>
      <c r="G1750" s="1"/>
      <c r="J1750" s="34"/>
    </row>
    <row r="1751" spans="1:10">
      <c r="A1751" s="1"/>
      <c r="B1751" s="204"/>
      <c r="C1751" s="1"/>
      <c r="D1751" s="1"/>
      <c r="E1751" s="1"/>
      <c r="F1751" s="279"/>
      <c r="G1751" s="1"/>
      <c r="J1751" s="34"/>
    </row>
    <row r="1752" spans="1:10">
      <c r="A1752" s="1"/>
      <c r="B1752" s="204"/>
      <c r="C1752" s="1"/>
      <c r="D1752" s="1"/>
      <c r="E1752" s="1"/>
      <c r="F1752" s="279"/>
      <c r="G1752" s="1"/>
      <c r="J1752" s="34"/>
    </row>
    <row r="1753" spans="1:10">
      <c r="A1753" s="1"/>
      <c r="B1753" s="204"/>
      <c r="C1753" s="1"/>
      <c r="D1753" s="1"/>
      <c r="E1753" s="1"/>
      <c r="F1753" s="279"/>
      <c r="G1753" s="1"/>
      <c r="J1753" s="34"/>
    </row>
    <row r="1754" spans="1:10">
      <c r="A1754" s="1"/>
      <c r="B1754" s="204"/>
      <c r="C1754" s="1"/>
      <c r="D1754" s="1"/>
      <c r="E1754" s="1"/>
      <c r="F1754" s="279"/>
      <c r="G1754" s="1"/>
      <c r="J1754" s="34"/>
    </row>
    <row r="1755" spans="1:10">
      <c r="A1755" s="1"/>
      <c r="B1755" s="204"/>
      <c r="C1755" s="1"/>
      <c r="D1755" s="1"/>
      <c r="E1755" s="1"/>
      <c r="F1755" s="279"/>
      <c r="G1755" s="1"/>
      <c r="J1755" s="34"/>
    </row>
    <row r="1756" spans="1:10">
      <c r="A1756" s="1"/>
      <c r="B1756" s="204"/>
      <c r="C1756" s="1"/>
      <c r="D1756" s="1"/>
      <c r="E1756" s="1"/>
      <c r="F1756" s="279"/>
      <c r="G1756" s="1"/>
      <c r="J1756" s="34"/>
    </row>
    <row r="1757" spans="1:10">
      <c r="A1757" s="1"/>
      <c r="B1757" s="204"/>
      <c r="C1757" s="1"/>
      <c r="D1757" s="1"/>
      <c r="E1757" s="1"/>
      <c r="F1757" s="279"/>
      <c r="G1757" s="1"/>
      <c r="J1757" s="34"/>
    </row>
    <row r="1758" spans="1:10">
      <c r="A1758" s="1"/>
      <c r="B1758" s="204"/>
      <c r="C1758" s="1"/>
      <c r="D1758" s="1"/>
      <c r="E1758" s="1"/>
      <c r="F1758" s="279"/>
      <c r="G1758" s="1"/>
      <c r="J1758" s="34"/>
    </row>
    <row r="1759" spans="1:10">
      <c r="A1759" s="1"/>
      <c r="B1759" s="204"/>
      <c r="C1759" s="1"/>
      <c r="D1759" s="1"/>
      <c r="E1759" s="1"/>
      <c r="F1759" s="279"/>
      <c r="G1759" s="1"/>
      <c r="J1759" s="34"/>
    </row>
    <row r="1760" spans="1:10">
      <c r="A1760" s="1"/>
      <c r="B1760" s="204"/>
      <c r="C1760" s="1"/>
      <c r="D1760" s="1"/>
      <c r="E1760" s="1"/>
      <c r="F1760" s="279"/>
      <c r="G1760" s="1"/>
      <c r="J1760" s="34"/>
    </row>
    <row r="1761" spans="1:10">
      <c r="A1761" s="1"/>
      <c r="B1761" s="204"/>
      <c r="C1761" s="1"/>
      <c r="D1761" s="1"/>
      <c r="E1761" s="1"/>
      <c r="F1761" s="279"/>
      <c r="G1761" s="1"/>
      <c r="J1761" s="34"/>
    </row>
    <row r="1762" spans="1:10">
      <c r="A1762" s="1"/>
      <c r="B1762" s="204"/>
      <c r="C1762" s="1"/>
      <c r="D1762" s="1"/>
      <c r="E1762" s="1"/>
      <c r="F1762" s="279"/>
      <c r="G1762" s="1"/>
      <c r="J1762" s="34"/>
    </row>
    <row r="1763" spans="1:10">
      <c r="A1763" s="1"/>
      <c r="B1763" s="204"/>
      <c r="C1763" s="1"/>
      <c r="D1763" s="1"/>
      <c r="E1763" s="1"/>
      <c r="F1763" s="279"/>
      <c r="G1763" s="1"/>
      <c r="J1763" s="34"/>
    </row>
    <row r="1764" spans="1:10">
      <c r="A1764" s="1"/>
      <c r="B1764" s="204"/>
      <c r="C1764" s="1"/>
      <c r="D1764" s="1"/>
      <c r="E1764" s="1"/>
      <c r="F1764" s="279"/>
      <c r="G1764" s="1"/>
      <c r="J1764" s="34"/>
    </row>
    <row r="1765" spans="1:10">
      <c r="A1765" s="1"/>
      <c r="B1765" s="204"/>
      <c r="C1765" s="1"/>
      <c r="D1765" s="1"/>
      <c r="E1765" s="1"/>
      <c r="F1765" s="279"/>
      <c r="G1765" s="1"/>
      <c r="J1765" s="34"/>
    </row>
    <row r="1766" spans="1:10">
      <c r="A1766" s="1"/>
      <c r="B1766" s="204"/>
      <c r="C1766" s="1"/>
      <c r="D1766" s="1"/>
      <c r="E1766" s="1"/>
      <c r="F1766" s="279"/>
      <c r="G1766" s="1"/>
      <c r="J1766" s="34"/>
    </row>
    <row r="1767" spans="1:10">
      <c r="A1767" s="1"/>
      <c r="B1767" s="204"/>
      <c r="C1767" s="1"/>
      <c r="D1767" s="1"/>
      <c r="E1767" s="1"/>
      <c r="F1767" s="279"/>
      <c r="G1767" s="1"/>
      <c r="J1767" s="34"/>
    </row>
    <row r="1768" spans="1:10">
      <c r="A1768" s="1"/>
      <c r="B1768" s="204"/>
      <c r="C1768" s="1"/>
      <c r="D1768" s="1"/>
      <c r="E1768" s="1"/>
      <c r="F1768" s="279"/>
      <c r="G1768" s="1"/>
      <c r="J1768" s="34"/>
    </row>
    <row r="1769" spans="1:10">
      <c r="A1769" s="1"/>
      <c r="B1769" s="204"/>
      <c r="C1769" s="1"/>
      <c r="D1769" s="1"/>
      <c r="E1769" s="1"/>
      <c r="F1769" s="279"/>
      <c r="G1769" s="1"/>
      <c r="J1769" s="34"/>
    </row>
    <row r="1770" spans="1:10">
      <c r="A1770" s="1"/>
      <c r="B1770" s="204"/>
      <c r="C1770" s="1"/>
      <c r="D1770" s="1"/>
      <c r="E1770" s="1"/>
      <c r="F1770" s="279"/>
      <c r="G1770" s="1"/>
      <c r="J1770" s="34"/>
    </row>
    <row r="1771" spans="1:10">
      <c r="A1771" s="1"/>
      <c r="B1771" s="204"/>
      <c r="C1771" s="1"/>
      <c r="D1771" s="1"/>
      <c r="E1771" s="1"/>
      <c r="F1771" s="279"/>
      <c r="G1771" s="1"/>
      <c r="J1771" s="34"/>
    </row>
    <row r="1772" spans="1:10">
      <c r="A1772" s="1"/>
      <c r="B1772" s="204"/>
      <c r="C1772" s="1"/>
      <c r="D1772" s="1"/>
      <c r="E1772" s="1"/>
      <c r="F1772" s="279"/>
      <c r="G1772" s="1"/>
      <c r="J1772" s="34"/>
    </row>
    <row r="1773" spans="1:10">
      <c r="A1773" s="1"/>
      <c r="B1773" s="204"/>
      <c r="C1773" s="1"/>
      <c r="D1773" s="1"/>
      <c r="E1773" s="1"/>
      <c r="F1773" s="279"/>
      <c r="G1773" s="1"/>
      <c r="J1773" s="34"/>
    </row>
    <row r="1774" spans="1:10">
      <c r="A1774" s="1"/>
      <c r="B1774" s="204"/>
      <c r="C1774" s="1"/>
      <c r="D1774" s="1"/>
      <c r="E1774" s="1"/>
      <c r="F1774" s="279"/>
      <c r="G1774" s="1"/>
      <c r="J1774" s="34"/>
    </row>
    <row r="1775" spans="1:10">
      <c r="A1775" s="1"/>
      <c r="B1775" s="204"/>
      <c r="C1775" s="1"/>
      <c r="D1775" s="1"/>
      <c r="E1775" s="1"/>
      <c r="F1775" s="279"/>
      <c r="G1775" s="1"/>
      <c r="J1775" s="34"/>
    </row>
    <row r="1776" spans="1:10">
      <c r="A1776" s="1"/>
      <c r="B1776" s="204"/>
      <c r="C1776" s="1"/>
      <c r="D1776" s="1"/>
      <c r="E1776" s="1"/>
      <c r="F1776" s="279"/>
      <c r="G1776" s="1"/>
      <c r="J1776" s="34"/>
    </row>
    <row r="1777" spans="1:10">
      <c r="A1777" s="1"/>
      <c r="B1777" s="204"/>
      <c r="C1777" s="1"/>
      <c r="D1777" s="1"/>
      <c r="E1777" s="1"/>
      <c r="F1777" s="279"/>
      <c r="G1777" s="1"/>
      <c r="J1777" s="34"/>
    </row>
    <row r="1778" spans="1:10">
      <c r="A1778" s="1"/>
      <c r="B1778" s="204"/>
      <c r="C1778" s="1"/>
      <c r="D1778" s="1"/>
      <c r="E1778" s="1"/>
      <c r="F1778" s="279"/>
      <c r="G1778" s="1"/>
      <c r="J1778" s="34"/>
    </row>
    <row r="1779" spans="1:10">
      <c r="A1779" s="1"/>
      <c r="B1779" s="204"/>
      <c r="C1779" s="1"/>
      <c r="D1779" s="1"/>
      <c r="E1779" s="1"/>
      <c r="F1779" s="279"/>
      <c r="G1779" s="1"/>
      <c r="J1779" s="34"/>
    </row>
    <row r="1780" spans="1:10">
      <c r="A1780" s="1"/>
      <c r="B1780" s="204"/>
      <c r="C1780" s="1"/>
      <c r="D1780" s="1"/>
      <c r="E1780" s="1"/>
      <c r="F1780" s="279"/>
      <c r="G1780" s="1"/>
      <c r="J1780" s="34"/>
    </row>
    <row r="1781" spans="1:10">
      <c r="A1781" s="1"/>
      <c r="B1781" s="204"/>
      <c r="C1781" s="1"/>
      <c r="D1781" s="1"/>
      <c r="E1781" s="1"/>
      <c r="F1781" s="279"/>
      <c r="G1781" s="1"/>
      <c r="J1781" s="34"/>
    </row>
    <row r="1782" spans="1:10">
      <c r="A1782" s="1"/>
      <c r="B1782" s="204"/>
      <c r="C1782" s="1"/>
      <c r="D1782" s="1"/>
      <c r="E1782" s="1"/>
      <c r="F1782" s="279"/>
      <c r="G1782" s="1"/>
      <c r="J1782" s="34"/>
    </row>
    <row r="1783" spans="1:10">
      <c r="A1783" s="1"/>
      <c r="B1783" s="204"/>
      <c r="C1783" s="1"/>
      <c r="D1783" s="1"/>
      <c r="E1783" s="1"/>
      <c r="F1783" s="279"/>
      <c r="G1783" s="1"/>
      <c r="J1783" s="34"/>
    </row>
    <row r="1784" spans="1:10">
      <c r="A1784" s="1"/>
      <c r="B1784" s="204"/>
      <c r="C1784" s="1"/>
      <c r="D1784" s="1"/>
      <c r="E1784" s="1"/>
      <c r="F1784" s="279"/>
      <c r="G1784" s="1"/>
      <c r="J1784" s="34"/>
    </row>
    <row r="1785" spans="1:10">
      <c r="A1785" s="1"/>
      <c r="B1785" s="204"/>
      <c r="C1785" s="1"/>
      <c r="D1785" s="1"/>
      <c r="E1785" s="1"/>
      <c r="F1785" s="279"/>
      <c r="G1785" s="1"/>
      <c r="J1785" s="34"/>
    </row>
    <row r="1786" spans="1:10">
      <c r="A1786" s="1"/>
      <c r="B1786" s="204"/>
      <c r="C1786" s="1"/>
      <c r="D1786" s="1"/>
      <c r="E1786" s="1"/>
      <c r="F1786" s="279"/>
      <c r="G1786" s="1"/>
      <c r="J1786" s="34"/>
    </row>
    <row r="1787" spans="1:10">
      <c r="A1787" s="1"/>
      <c r="B1787" s="204"/>
      <c r="C1787" s="1"/>
      <c r="D1787" s="1"/>
      <c r="E1787" s="1"/>
      <c r="F1787" s="279"/>
      <c r="G1787" s="1"/>
      <c r="J1787" s="34"/>
    </row>
    <row r="1788" spans="1:10">
      <c r="A1788" s="1"/>
      <c r="B1788" s="204"/>
      <c r="C1788" s="1"/>
      <c r="D1788" s="1"/>
      <c r="E1788" s="1"/>
      <c r="F1788" s="279"/>
      <c r="G1788" s="1"/>
      <c r="J1788" s="34"/>
    </row>
    <row r="1789" spans="1:10">
      <c r="A1789" s="1"/>
      <c r="B1789" s="204"/>
      <c r="C1789" s="1"/>
      <c r="D1789" s="1"/>
      <c r="E1789" s="1"/>
      <c r="F1789" s="279"/>
      <c r="G1789" s="1"/>
      <c r="J1789" s="34"/>
    </row>
    <row r="1790" spans="1:10">
      <c r="A1790" s="1"/>
      <c r="B1790" s="204"/>
      <c r="C1790" s="1"/>
      <c r="D1790" s="1"/>
      <c r="E1790" s="1"/>
      <c r="F1790" s="279"/>
      <c r="G1790" s="1"/>
      <c r="J1790" s="34"/>
    </row>
    <row r="1791" spans="1:10">
      <c r="A1791" s="1"/>
      <c r="B1791" s="204"/>
      <c r="C1791" s="1"/>
      <c r="D1791" s="1"/>
      <c r="E1791" s="1"/>
      <c r="F1791" s="279"/>
      <c r="G1791" s="1"/>
      <c r="J1791" s="34"/>
    </row>
    <row r="1792" spans="1:10">
      <c r="A1792" s="1"/>
      <c r="B1792" s="204"/>
      <c r="C1792" s="1"/>
      <c r="D1792" s="1"/>
      <c r="E1792" s="1"/>
      <c r="F1792" s="279"/>
      <c r="G1792" s="1"/>
      <c r="J1792" s="34"/>
    </row>
    <row r="1793" spans="1:10">
      <c r="A1793" s="1"/>
      <c r="B1793" s="204"/>
      <c r="C1793" s="1"/>
      <c r="D1793" s="1"/>
      <c r="E1793" s="1"/>
      <c r="F1793" s="279"/>
      <c r="G1793" s="1"/>
      <c r="J1793" s="34"/>
    </row>
    <row r="1794" spans="1:10">
      <c r="A1794" s="1"/>
      <c r="B1794" s="204"/>
      <c r="C1794" s="1"/>
      <c r="D1794" s="1"/>
      <c r="E1794" s="1"/>
      <c r="F1794" s="279"/>
      <c r="G1794" s="1"/>
      <c r="J1794" s="34"/>
    </row>
    <row r="1795" spans="1:10">
      <c r="A1795" s="1"/>
      <c r="B1795" s="204"/>
      <c r="C1795" s="1"/>
      <c r="D1795" s="1"/>
      <c r="E1795" s="1"/>
      <c r="F1795" s="279"/>
      <c r="G1795" s="1"/>
      <c r="J1795" s="34"/>
    </row>
    <row r="1796" spans="1:10">
      <c r="A1796" s="1"/>
      <c r="B1796" s="204"/>
      <c r="C1796" s="1"/>
      <c r="D1796" s="1"/>
      <c r="E1796" s="1"/>
      <c r="F1796" s="279"/>
      <c r="G1796" s="1"/>
      <c r="J1796" s="34"/>
    </row>
    <row r="1797" spans="1:10">
      <c r="A1797" s="1"/>
      <c r="B1797" s="204"/>
      <c r="C1797" s="1"/>
      <c r="D1797" s="1"/>
      <c r="E1797" s="1"/>
      <c r="F1797" s="279"/>
      <c r="G1797" s="1"/>
      <c r="J1797" s="34"/>
    </row>
    <row r="1798" spans="1:10">
      <c r="A1798" s="1"/>
      <c r="B1798" s="204"/>
      <c r="C1798" s="1"/>
      <c r="D1798" s="1"/>
      <c r="E1798" s="1"/>
      <c r="F1798" s="279"/>
      <c r="G1798" s="1"/>
      <c r="J1798" s="34"/>
    </row>
    <row r="1799" spans="1:10">
      <c r="A1799" s="1"/>
      <c r="B1799" s="204"/>
      <c r="C1799" s="1"/>
      <c r="D1799" s="1"/>
      <c r="E1799" s="1"/>
      <c r="F1799" s="279"/>
      <c r="G1799" s="1"/>
      <c r="J1799" s="34"/>
    </row>
    <row r="1800" spans="1:10">
      <c r="A1800" s="1"/>
      <c r="B1800" s="204"/>
      <c r="C1800" s="1"/>
      <c r="D1800" s="1"/>
      <c r="E1800" s="1"/>
      <c r="F1800" s="279"/>
      <c r="G1800" s="1"/>
      <c r="J1800" s="34"/>
    </row>
    <row r="1801" spans="1:10">
      <c r="A1801" s="1"/>
      <c r="B1801" s="204"/>
      <c r="C1801" s="1"/>
      <c r="D1801" s="1"/>
      <c r="E1801" s="1"/>
      <c r="F1801" s="279"/>
      <c r="G1801" s="1"/>
      <c r="J1801" s="34"/>
    </row>
    <row r="1802" spans="1:10">
      <c r="A1802" s="1"/>
      <c r="B1802" s="204"/>
      <c r="C1802" s="1"/>
      <c r="D1802" s="1"/>
      <c r="E1802" s="1"/>
      <c r="F1802" s="279"/>
      <c r="G1802" s="1"/>
      <c r="J1802" s="34"/>
    </row>
    <row r="1803" spans="1:10">
      <c r="A1803" s="1"/>
      <c r="B1803" s="204"/>
      <c r="C1803" s="1"/>
      <c r="D1803" s="1"/>
      <c r="E1803" s="1"/>
      <c r="F1803" s="279"/>
      <c r="G1803" s="1"/>
      <c r="J1803" s="34"/>
    </row>
    <row r="1804" spans="1:10">
      <c r="A1804" s="1"/>
      <c r="B1804" s="204"/>
      <c r="C1804" s="1"/>
      <c r="D1804" s="1"/>
      <c r="E1804" s="1"/>
      <c r="F1804" s="279"/>
      <c r="G1804" s="1"/>
      <c r="J1804" s="34"/>
    </row>
    <row r="1805" spans="1:10">
      <c r="A1805" s="1"/>
      <c r="B1805" s="204"/>
      <c r="C1805" s="1"/>
      <c r="D1805" s="1"/>
      <c r="E1805" s="1"/>
      <c r="F1805" s="279"/>
      <c r="G1805" s="1"/>
      <c r="J1805" s="34"/>
    </row>
    <row r="1806" spans="1:10">
      <c r="A1806" s="1"/>
      <c r="B1806" s="204"/>
      <c r="C1806" s="1"/>
      <c r="D1806" s="1"/>
      <c r="E1806" s="1"/>
      <c r="F1806" s="279"/>
      <c r="G1806" s="1"/>
      <c r="J1806" s="34"/>
    </row>
    <row r="1807" spans="1:10">
      <c r="A1807" s="1"/>
      <c r="B1807" s="204"/>
      <c r="C1807" s="1"/>
      <c r="D1807" s="1"/>
      <c r="E1807" s="1"/>
      <c r="F1807" s="279"/>
      <c r="G1807" s="1"/>
      <c r="J1807" s="34"/>
    </row>
    <row r="1808" spans="1:10">
      <c r="A1808" s="1"/>
      <c r="B1808" s="204"/>
      <c r="C1808" s="1"/>
      <c r="D1808" s="1"/>
      <c r="E1808" s="1"/>
      <c r="F1808" s="279"/>
      <c r="G1808" s="1"/>
      <c r="J1808" s="34"/>
    </row>
    <row r="1809" spans="1:10">
      <c r="A1809" s="1"/>
      <c r="B1809" s="204"/>
      <c r="C1809" s="1"/>
      <c r="D1809" s="1"/>
      <c r="E1809" s="1"/>
      <c r="F1809" s="279"/>
      <c r="G1809" s="1"/>
      <c r="J1809" s="34"/>
    </row>
    <row r="1810" spans="1:10">
      <c r="A1810" s="1"/>
      <c r="B1810" s="204"/>
      <c r="C1810" s="1"/>
      <c r="D1810" s="1"/>
      <c r="E1810" s="1"/>
      <c r="F1810" s="279"/>
      <c r="G1810" s="1"/>
      <c r="J1810" s="34"/>
    </row>
    <row r="1811" spans="1:10">
      <c r="A1811" s="1"/>
      <c r="B1811" s="204"/>
      <c r="C1811" s="1"/>
      <c r="D1811" s="1"/>
      <c r="E1811" s="1"/>
      <c r="F1811" s="279"/>
      <c r="G1811" s="1"/>
      <c r="J1811" s="34"/>
    </row>
    <row r="1812" spans="1:10">
      <c r="A1812" s="1"/>
      <c r="B1812" s="204"/>
      <c r="C1812" s="1"/>
      <c r="D1812" s="1"/>
      <c r="E1812" s="1"/>
      <c r="F1812" s="279"/>
      <c r="G1812" s="1"/>
      <c r="J1812" s="34"/>
    </row>
    <row r="1813" spans="1:10">
      <c r="A1813" s="1"/>
      <c r="B1813" s="204"/>
      <c r="C1813" s="1"/>
      <c r="D1813" s="1"/>
      <c r="E1813" s="1"/>
      <c r="F1813" s="279"/>
      <c r="G1813" s="1"/>
      <c r="J1813" s="34"/>
    </row>
    <row r="1814" spans="1:10">
      <c r="A1814" s="1"/>
      <c r="B1814" s="204"/>
      <c r="C1814" s="1"/>
      <c r="D1814" s="1"/>
      <c r="E1814" s="1"/>
      <c r="F1814" s="279"/>
      <c r="G1814" s="1"/>
      <c r="J1814" s="34"/>
    </row>
    <row r="1815" spans="1:10">
      <c r="A1815" s="1"/>
      <c r="B1815" s="204"/>
      <c r="C1815" s="1"/>
      <c r="D1815" s="1"/>
      <c r="E1815" s="1"/>
      <c r="F1815" s="279"/>
      <c r="G1815" s="1"/>
      <c r="J1815" s="34"/>
    </row>
    <row r="1816" spans="1:10">
      <c r="A1816" s="1"/>
      <c r="B1816" s="204"/>
      <c r="C1816" s="1"/>
      <c r="D1816" s="1"/>
      <c r="E1816" s="1"/>
      <c r="F1816" s="279"/>
      <c r="G1816" s="1"/>
      <c r="J1816" s="34"/>
    </row>
    <row r="1817" spans="1:10">
      <c r="A1817" s="1"/>
      <c r="B1817" s="204"/>
      <c r="C1817" s="1"/>
      <c r="D1817" s="1"/>
      <c r="E1817" s="1"/>
      <c r="F1817" s="279"/>
      <c r="G1817" s="1"/>
      <c r="J1817" s="34"/>
    </row>
    <row r="1818" spans="1:10">
      <c r="A1818" s="1"/>
      <c r="B1818" s="204"/>
      <c r="C1818" s="1"/>
      <c r="D1818" s="1"/>
      <c r="E1818" s="1"/>
      <c r="F1818" s="279"/>
      <c r="G1818" s="1"/>
      <c r="J1818" s="34"/>
    </row>
    <row r="1819" spans="1:10">
      <c r="A1819" s="1"/>
      <c r="B1819" s="204"/>
      <c r="C1819" s="1"/>
      <c r="D1819" s="1"/>
      <c r="E1819" s="1"/>
      <c r="F1819" s="279"/>
      <c r="G1819" s="1"/>
      <c r="J1819" s="34"/>
    </row>
    <row r="1820" spans="1:10">
      <c r="A1820" s="1"/>
      <c r="B1820" s="204"/>
      <c r="C1820" s="1"/>
      <c r="D1820" s="1"/>
      <c r="E1820" s="1"/>
      <c r="F1820" s="279"/>
      <c r="G1820" s="1"/>
      <c r="J1820" s="34"/>
    </row>
    <row r="1821" spans="1:10">
      <c r="A1821" s="1"/>
      <c r="B1821" s="204"/>
      <c r="C1821" s="1"/>
      <c r="D1821" s="1"/>
      <c r="E1821" s="1"/>
      <c r="F1821" s="279"/>
      <c r="G1821" s="1"/>
      <c r="J1821" s="34"/>
    </row>
    <row r="1822" spans="1:10">
      <c r="A1822" s="1"/>
      <c r="B1822" s="204"/>
      <c r="C1822" s="1"/>
      <c r="D1822" s="1"/>
      <c r="E1822" s="1"/>
      <c r="F1822" s="279"/>
      <c r="G1822" s="1"/>
      <c r="J1822" s="34"/>
    </row>
    <row r="1823" spans="1:10">
      <c r="A1823" s="1"/>
      <c r="B1823" s="204"/>
      <c r="C1823" s="1"/>
      <c r="D1823" s="1"/>
      <c r="E1823" s="1"/>
      <c r="F1823" s="279"/>
      <c r="G1823" s="1"/>
      <c r="J1823" s="34"/>
    </row>
    <row r="1824" spans="1:10">
      <c r="A1824" s="1"/>
      <c r="B1824" s="204"/>
      <c r="C1824" s="1"/>
      <c r="D1824" s="1"/>
      <c r="E1824" s="1"/>
      <c r="F1824" s="279"/>
      <c r="G1824" s="1"/>
      <c r="J1824" s="34"/>
    </row>
    <row r="1825" spans="1:10">
      <c r="A1825" s="1"/>
      <c r="B1825" s="204"/>
      <c r="C1825" s="1"/>
      <c r="D1825" s="1"/>
      <c r="E1825" s="1"/>
      <c r="F1825" s="279"/>
      <c r="G1825" s="1"/>
      <c r="J1825" s="34"/>
    </row>
    <row r="1826" spans="1:10">
      <c r="A1826" s="1"/>
      <c r="B1826" s="204"/>
      <c r="C1826" s="1"/>
      <c r="D1826" s="1"/>
      <c r="E1826" s="1"/>
      <c r="F1826" s="279"/>
      <c r="G1826" s="1"/>
      <c r="J1826" s="34"/>
    </row>
    <row r="1827" spans="1:10">
      <c r="A1827" s="1"/>
      <c r="B1827" s="204"/>
      <c r="C1827" s="1"/>
      <c r="D1827" s="1"/>
      <c r="E1827" s="1"/>
      <c r="F1827" s="279"/>
      <c r="G1827" s="1"/>
      <c r="J1827" s="34"/>
    </row>
    <row r="1828" spans="1:10">
      <c r="A1828" s="1"/>
      <c r="B1828" s="204"/>
      <c r="C1828" s="1"/>
      <c r="D1828" s="1"/>
      <c r="E1828" s="1"/>
      <c r="F1828" s="279"/>
      <c r="G1828" s="1"/>
      <c r="J1828" s="34"/>
    </row>
    <row r="1829" spans="1:10">
      <c r="A1829" s="1"/>
      <c r="B1829" s="204"/>
      <c r="C1829" s="1"/>
      <c r="D1829" s="1"/>
      <c r="E1829" s="1"/>
      <c r="F1829" s="279"/>
      <c r="G1829" s="1"/>
      <c r="J1829" s="34"/>
    </row>
    <row r="1830" spans="1:10">
      <c r="A1830" s="1"/>
      <c r="B1830" s="204"/>
      <c r="C1830" s="1"/>
      <c r="D1830" s="1"/>
      <c r="E1830" s="1"/>
      <c r="F1830" s="279"/>
      <c r="G1830" s="1"/>
      <c r="J1830" s="34"/>
    </row>
    <row r="1831" spans="1:10">
      <c r="A1831" s="1"/>
      <c r="B1831" s="204"/>
      <c r="C1831" s="1"/>
      <c r="D1831" s="1"/>
      <c r="E1831" s="1"/>
      <c r="F1831" s="279"/>
      <c r="G1831" s="1"/>
      <c r="J1831" s="34"/>
    </row>
    <row r="1832" spans="1:10">
      <c r="A1832" s="1"/>
      <c r="B1832" s="204"/>
      <c r="C1832" s="1"/>
      <c r="D1832" s="1"/>
      <c r="E1832" s="1"/>
      <c r="F1832" s="279"/>
      <c r="G1832" s="1"/>
      <c r="J1832" s="34"/>
    </row>
    <row r="1833" spans="1:10">
      <c r="A1833" s="1"/>
      <c r="B1833" s="204"/>
      <c r="C1833" s="1"/>
      <c r="D1833" s="1"/>
      <c r="E1833" s="1"/>
      <c r="F1833" s="279"/>
      <c r="G1833" s="1"/>
      <c r="J1833" s="34"/>
    </row>
    <row r="1834" spans="1:10">
      <c r="A1834" s="1"/>
      <c r="B1834" s="204"/>
      <c r="C1834" s="1"/>
      <c r="D1834" s="1"/>
      <c r="E1834" s="1"/>
      <c r="F1834" s="279"/>
      <c r="G1834" s="1"/>
      <c r="J1834" s="34"/>
    </row>
    <row r="1835" spans="1:10">
      <c r="A1835" s="1"/>
      <c r="B1835" s="204"/>
      <c r="C1835" s="1"/>
      <c r="D1835" s="1"/>
      <c r="E1835" s="1"/>
      <c r="F1835" s="279"/>
      <c r="G1835" s="1"/>
      <c r="J1835" s="34"/>
    </row>
    <row r="1836" spans="1:10">
      <c r="A1836" s="1"/>
      <c r="B1836" s="204"/>
      <c r="C1836" s="1"/>
      <c r="D1836" s="1"/>
      <c r="E1836" s="1"/>
      <c r="F1836" s="279"/>
      <c r="G1836" s="1"/>
      <c r="J1836" s="34"/>
    </row>
    <row r="1837" spans="1:10">
      <c r="A1837" s="1"/>
      <c r="B1837" s="204"/>
      <c r="C1837" s="1"/>
      <c r="D1837" s="1"/>
      <c r="E1837" s="1"/>
      <c r="F1837" s="279"/>
      <c r="G1837" s="1"/>
      <c r="J1837" s="34"/>
    </row>
    <row r="1838" spans="1:10">
      <c r="A1838" s="1"/>
      <c r="B1838" s="204"/>
      <c r="C1838" s="1"/>
      <c r="D1838" s="1"/>
      <c r="E1838" s="1"/>
      <c r="F1838" s="279"/>
      <c r="G1838" s="1"/>
      <c r="J1838" s="34"/>
    </row>
    <row r="1839" spans="1:10">
      <c r="A1839" s="1"/>
      <c r="B1839" s="204"/>
      <c r="C1839" s="1"/>
      <c r="D1839" s="1"/>
      <c r="E1839" s="1"/>
      <c r="F1839" s="279"/>
      <c r="G1839" s="1"/>
      <c r="J1839" s="34"/>
    </row>
    <row r="1840" spans="1:10">
      <c r="A1840" s="1"/>
      <c r="B1840" s="204"/>
      <c r="C1840" s="1"/>
      <c r="D1840" s="1"/>
      <c r="E1840" s="1"/>
      <c r="F1840" s="279"/>
      <c r="G1840" s="1"/>
      <c r="J1840" s="34"/>
    </row>
    <row r="1841" spans="1:10">
      <c r="A1841" s="1"/>
      <c r="B1841" s="204"/>
      <c r="C1841" s="1"/>
      <c r="D1841" s="1"/>
      <c r="E1841" s="1"/>
      <c r="F1841" s="279"/>
      <c r="G1841" s="1"/>
      <c r="J1841" s="34"/>
    </row>
    <row r="1842" spans="1:10">
      <c r="A1842" s="1"/>
      <c r="B1842" s="204"/>
      <c r="C1842" s="1"/>
      <c r="D1842" s="1"/>
      <c r="E1842" s="1"/>
      <c r="F1842" s="279"/>
      <c r="G1842" s="1"/>
      <c r="J1842" s="34"/>
    </row>
    <row r="1843" spans="1:10">
      <c r="A1843" s="1"/>
      <c r="B1843" s="204"/>
      <c r="C1843" s="1"/>
      <c r="D1843" s="1"/>
      <c r="E1843" s="1"/>
      <c r="F1843" s="279"/>
      <c r="G1843" s="1"/>
      <c r="J1843" s="34"/>
    </row>
    <row r="1844" spans="1:10">
      <c r="A1844" s="1"/>
      <c r="B1844" s="204"/>
      <c r="C1844" s="1"/>
      <c r="D1844" s="1"/>
      <c r="E1844" s="1"/>
      <c r="F1844" s="279"/>
      <c r="G1844" s="1"/>
      <c r="J1844" s="34"/>
    </row>
    <row r="1845" spans="1:10">
      <c r="A1845" s="1"/>
      <c r="B1845" s="204"/>
      <c r="C1845" s="1"/>
      <c r="D1845" s="1"/>
      <c r="E1845" s="1"/>
      <c r="F1845" s="279"/>
      <c r="G1845" s="1"/>
      <c r="J1845" s="34"/>
    </row>
    <row r="1846" spans="1:10">
      <c r="A1846" s="1"/>
      <c r="B1846" s="204"/>
      <c r="C1846" s="1"/>
      <c r="D1846" s="1"/>
      <c r="E1846" s="1"/>
      <c r="F1846" s="279"/>
      <c r="G1846" s="1"/>
      <c r="J1846" s="34"/>
    </row>
    <row r="1847" spans="1:10">
      <c r="A1847" s="1"/>
      <c r="B1847" s="204"/>
      <c r="C1847" s="1"/>
      <c r="D1847" s="1"/>
      <c r="E1847" s="1"/>
      <c r="F1847" s="279"/>
      <c r="G1847" s="1"/>
      <c r="J1847" s="34"/>
    </row>
    <row r="1848" spans="1:10">
      <c r="A1848" s="1"/>
      <c r="B1848" s="204"/>
      <c r="C1848" s="1"/>
      <c r="D1848" s="1"/>
      <c r="E1848" s="1"/>
      <c r="F1848" s="279"/>
      <c r="G1848" s="1"/>
      <c r="J1848" s="34"/>
    </row>
    <row r="1849" spans="1:10">
      <c r="A1849" s="1"/>
      <c r="B1849" s="204"/>
      <c r="C1849" s="1"/>
      <c r="D1849" s="1"/>
      <c r="E1849" s="1"/>
      <c r="F1849" s="279"/>
      <c r="G1849" s="1"/>
      <c r="J1849" s="34"/>
    </row>
    <row r="1850" spans="1:10">
      <c r="A1850" s="1"/>
      <c r="B1850" s="204"/>
      <c r="C1850" s="1"/>
      <c r="D1850" s="1"/>
      <c r="E1850" s="1"/>
      <c r="F1850" s="279"/>
      <c r="G1850" s="1"/>
      <c r="J1850" s="34"/>
    </row>
    <row r="1851" spans="1:10">
      <c r="A1851" s="1"/>
      <c r="B1851" s="204"/>
      <c r="C1851" s="1"/>
      <c r="D1851" s="1"/>
      <c r="E1851" s="1"/>
      <c r="F1851" s="279"/>
      <c r="G1851" s="1"/>
      <c r="J1851" s="34"/>
    </row>
    <row r="1852" spans="1:10">
      <c r="A1852" s="1"/>
      <c r="B1852" s="204"/>
      <c r="C1852" s="1"/>
      <c r="D1852" s="1"/>
      <c r="E1852" s="1"/>
      <c r="F1852" s="279"/>
      <c r="G1852" s="1"/>
      <c r="J1852" s="34"/>
    </row>
    <row r="1853" spans="1:10">
      <c r="A1853" s="1"/>
      <c r="B1853" s="204"/>
      <c r="C1853" s="1"/>
      <c r="D1853" s="1"/>
      <c r="E1853" s="1"/>
      <c r="F1853" s="279"/>
      <c r="G1853" s="1"/>
      <c r="J1853" s="34"/>
    </row>
    <row r="1854" spans="1:10">
      <c r="A1854" s="1"/>
      <c r="B1854" s="204"/>
      <c r="C1854" s="1"/>
      <c r="D1854" s="1"/>
      <c r="E1854" s="1"/>
      <c r="F1854" s="279"/>
      <c r="G1854" s="1"/>
      <c r="J1854" s="34"/>
    </row>
    <row r="1855" spans="1:10">
      <c r="A1855" s="1"/>
      <c r="B1855" s="204"/>
      <c r="C1855" s="1"/>
      <c r="D1855" s="1"/>
      <c r="E1855" s="1"/>
      <c r="F1855" s="279"/>
      <c r="G1855" s="1"/>
      <c r="J1855" s="34"/>
    </row>
    <row r="1856" spans="1:10">
      <c r="A1856" s="1"/>
      <c r="B1856" s="204"/>
      <c r="C1856" s="1"/>
      <c r="D1856" s="1"/>
      <c r="E1856" s="1"/>
      <c r="F1856" s="279"/>
      <c r="G1856" s="1"/>
      <c r="J1856" s="34"/>
    </row>
    <row r="1857" spans="1:10">
      <c r="A1857" s="1"/>
      <c r="B1857" s="204"/>
      <c r="C1857" s="1"/>
      <c r="D1857" s="1"/>
      <c r="E1857" s="1"/>
      <c r="F1857" s="279"/>
      <c r="G1857" s="1"/>
      <c r="J1857" s="34"/>
    </row>
    <row r="1858" spans="1:10">
      <c r="A1858" s="1"/>
      <c r="B1858" s="204"/>
      <c r="C1858" s="1"/>
      <c r="D1858" s="1"/>
      <c r="E1858" s="1"/>
      <c r="F1858" s="279"/>
      <c r="G1858" s="1"/>
      <c r="J1858" s="34"/>
    </row>
    <row r="1859" spans="1:10">
      <c r="A1859" s="1"/>
      <c r="B1859" s="204"/>
      <c r="C1859" s="1"/>
      <c r="D1859" s="1"/>
      <c r="E1859" s="1"/>
      <c r="F1859" s="279"/>
      <c r="G1859" s="1"/>
      <c r="J1859" s="34"/>
    </row>
    <row r="1860" spans="1:10">
      <c r="A1860" s="1"/>
      <c r="B1860" s="204"/>
      <c r="C1860" s="1"/>
      <c r="D1860" s="1"/>
      <c r="E1860" s="1"/>
      <c r="F1860" s="279"/>
      <c r="G1860" s="1"/>
      <c r="J1860" s="34"/>
    </row>
    <row r="1861" spans="1:10">
      <c r="A1861" s="1"/>
      <c r="B1861" s="204"/>
      <c r="C1861" s="1"/>
      <c r="D1861" s="1"/>
      <c r="E1861" s="1"/>
      <c r="F1861" s="279"/>
      <c r="G1861" s="1"/>
      <c r="J1861" s="34"/>
    </row>
    <row r="1862" spans="1:10">
      <c r="A1862" s="1"/>
      <c r="B1862" s="204"/>
      <c r="C1862" s="1"/>
      <c r="D1862" s="1"/>
      <c r="E1862" s="1"/>
      <c r="F1862" s="279"/>
      <c r="G1862" s="1"/>
      <c r="J1862" s="34"/>
    </row>
    <row r="1863" spans="1:10">
      <c r="A1863" s="1"/>
      <c r="B1863" s="204"/>
      <c r="C1863" s="1"/>
      <c r="D1863" s="1"/>
      <c r="E1863" s="1"/>
      <c r="F1863" s="279"/>
      <c r="G1863" s="1"/>
      <c r="J1863" s="34"/>
    </row>
    <row r="1864" spans="1:10">
      <c r="A1864" s="1"/>
      <c r="B1864" s="204"/>
      <c r="C1864" s="1"/>
      <c r="D1864" s="1"/>
      <c r="E1864" s="1"/>
      <c r="F1864" s="279"/>
      <c r="G1864" s="1"/>
      <c r="J1864" s="34"/>
    </row>
    <row r="1865" spans="1:10">
      <c r="A1865" s="1"/>
      <c r="B1865" s="204"/>
      <c r="C1865" s="1"/>
      <c r="D1865" s="1"/>
      <c r="E1865" s="1"/>
      <c r="F1865" s="279"/>
      <c r="G1865" s="1"/>
      <c r="J1865" s="34"/>
    </row>
    <row r="1866" spans="1:10">
      <c r="A1866" s="1"/>
      <c r="B1866" s="204"/>
      <c r="C1866" s="1"/>
      <c r="D1866" s="1"/>
      <c r="E1866" s="1"/>
      <c r="F1866" s="279"/>
      <c r="G1866" s="1"/>
      <c r="J1866" s="34"/>
    </row>
    <row r="1867" spans="1:10">
      <c r="A1867" s="1"/>
      <c r="B1867" s="204"/>
      <c r="C1867" s="1"/>
      <c r="D1867" s="1"/>
      <c r="E1867" s="1"/>
      <c r="F1867" s="279"/>
      <c r="G1867" s="1"/>
      <c r="J1867" s="34"/>
    </row>
    <row r="1868" spans="1:10">
      <c r="A1868" s="1"/>
      <c r="B1868" s="204"/>
      <c r="C1868" s="1"/>
      <c r="D1868" s="1"/>
      <c r="E1868" s="1"/>
      <c r="F1868" s="279"/>
      <c r="G1868" s="1"/>
      <c r="J1868" s="34"/>
    </row>
    <row r="1869" spans="1:10">
      <c r="A1869" s="1"/>
      <c r="B1869" s="204"/>
      <c r="C1869" s="1"/>
      <c r="D1869" s="1"/>
      <c r="E1869" s="1"/>
      <c r="F1869" s="279"/>
      <c r="G1869" s="1"/>
      <c r="J1869" s="34"/>
    </row>
    <row r="1870" spans="1:10">
      <c r="A1870" s="1"/>
      <c r="B1870" s="204"/>
      <c r="C1870" s="1"/>
      <c r="D1870" s="1"/>
      <c r="E1870" s="1"/>
      <c r="F1870" s="279"/>
      <c r="G1870" s="1"/>
      <c r="J1870" s="34"/>
    </row>
    <row r="1871" spans="1:10">
      <c r="A1871" s="1"/>
      <c r="B1871" s="204"/>
      <c r="C1871" s="1"/>
      <c r="D1871" s="1"/>
      <c r="E1871" s="1"/>
      <c r="F1871" s="279"/>
      <c r="G1871" s="1"/>
      <c r="J1871" s="34"/>
    </row>
    <row r="1872" spans="1:10">
      <c r="A1872" s="1"/>
      <c r="B1872" s="204"/>
      <c r="C1872" s="1"/>
      <c r="D1872" s="1"/>
      <c r="E1872" s="1"/>
      <c r="F1872" s="279"/>
      <c r="G1872" s="1"/>
      <c r="J1872" s="34"/>
    </row>
    <row r="1873" spans="1:10">
      <c r="A1873" s="1"/>
      <c r="B1873" s="204"/>
      <c r="C1873" s="1"/>
      <c r="D1873" s="1"/>
      <c r="E1873" s="1"/>
      <c r="F1873" s="279"/>
      <c r="G1873" s="1"/>
      <c r="J1873" s="34"/>
    </row>
    <row r="1874" spans="1:10">
      <c r="A1874" s="1"/>
      <c r="B1874" s="204"/>
      <c r="C1874" s="1"/>
      <c r="D1874" s="1"/>
      <c r="E1874" s="1"/>
      <c r="F1874" s="279"/>
      <c r="G1874" s="1"/>
      <c r="J1874" s="34"/>
    </row>
    <row r="1875" spans="1:10">
      <c r="A1875" s="1"/>
      <c r="B1875" s="204"/>
      <c r="C1875" s="1"/>
      <c r="D1875" s="1"/>
      <c r="E1875" s="1"/>
      <c r="F1875" s="279"/>
      <c r="G1875" s="1"/>
      <c r="J1875" s="34"/>
    </row>
    <row r="1876" spans="1:10">
      <c r="A1876" s="1"/>
      <c r="B1876" s="204"/>
      <c r="C1876" s="1"/>
      <c r="D1876" s="1"/>
      <c r="E1876" s="1"/>
      <c r="F1876" s="279"/>
      <c r="G1876" s="1"/>
      <c r="J1876" s="34"/>
    </row>
    <row r="1877" spans="1:10">
      <c r="A1877" s="1"/>
      <c r="B1877" s="204"/>
      <c r="C1877" s="1"/>
      <c r="D1877" s="1"/>
      <c r="E1877" s="1"/>
      <c r="F1877" s="279"/>
      <c r="G1877" s="1"/>
      <c r="J1877" s="34"/>
    </row>
    <row r="1878" spans="1:10">
      <c r="A1878" s="1"/>
      <c r="B1878" s="204"/>
      <c r="C1878" s="1"/>
      <c r="D1878" s="1"/>
      <c r="E1878" s="1"/>
      <c r="F1878" s="279"/>
      <c r="G1878" s="1"/>
      <c r="J1878" s="34"/>
    </row>
    <row r="1879" spans="1:10">
      <c r="A1879" s="1"/>
      <c r="B1879" s="204"/>
      <c r="C1879" s="1"/>
      <c r="D1879" s="1"/>
      <c r="E1879" s="1"/>
      <c r="F1879" s="279"/>
      <c r="G1879" s="1"/>
      <c r="J1879" s="34"/>
    </row>
    <row r="1880" spans="1:10">
      <c r="A1880" s="1"/>
      <c r="B1880" s="204"/>
      <c r="C1880" s="1"/>
      <c r="D1880" s="1"/>
      <c r="E1880" s="1"/>
      <c r="F1880" s="279"/>
      <c r="G1880" s="1"/>
      <c r="J1880" s="34"/>
    </row>
    <row r="1881" spans="1:10">
      <c r="A1881" s="1"/>
      <c r="B1881" s="204"/>
      <c r="C1881" s="1"/>
      <c r="D1881" s="1"/>
      <c r="E1881" s="1"/>
      <c r="F1881" s="279"/>
      <c r="G1881" s="1"/>
      <c r="J1881" s="34"/>
    </row>
    <row r="1882" spans="1:10">
      <c r="A1882" s="1"/>
      <c r="B1882" s="204"/>
      <c r="C1882" s="1"/>
      <c r="D1882" s="1"/>
      <c r="E1882" s="1"/>
      <c r="F1882" s="279"/>
      <c r="G1882" s="1"/>
      <c r="J1882" s="34"/>
    </row>
    <row r="1883" spans="1:10">
      <c r="A1883" s="1"/>
      <c r="B1883" s="204"/>
      <c r="C1883" s="1"/>
      <c r="D1883" s="1"/>
      <c r="E1883" s="1"/>
      <c r="F1883" s="279"/>
      <c r="G1883" s="1"/>
      <c r="J1883" s="34"/>
    </row>
    <row r="1884" spans="1:10">
      <c r="A1884" s="1"/>
      <c r="B1884" s="204"/>
      <c r="C1884" s="1"/>
      <c r="D1884" s="1"/>
      <c r="E1884" s="1"/>
      <c r="F1884" s="279"/>
      <c r="G1884" s="1"/>
      <c r="J1884" s="34"/>
    </row>
    <row r="1885" spans="1:10">
      <c r="A1885" s="1"/>
      <c r="B1885" s="204"/>
      <c r="C1885" s="1"/>
      <c r="D1885" s="1"/>
      <c r="E1885" s="1"/>
      <c r="F1885" s="279"/>
      <c r="G1885" s="1"/>
      <c r="J1885" s="34"/>
    </row>
    <row r="1886" spans="1:10">
      <c r="A1886" s="1"/>
      <c r="B1886" s="204"/>
      <c r="C1886" s="1"/>
      <c r="D1886" s="1"/>
      <c r="E1886" s="1"/>
      <c r="F1886" s="279"/>
      <c r="G1886" s="1"/>
      <c r="J1886" s="34"/>
    </row>
    <row r="1887" spans="1:10">
      <c r="A1887" s="1"/>
      <c r="B1887" s="204"/>
      <c r="C1887" s="1"/>
      <c r="D1887" s="1"/>
      <c r="E1887" s="1"/>
      <c r="F1887" s="279"/>
      <c r="G1887" s="1"/>
      <c r="J1887" s="34"/>
    </row>
    <row r="1888" spans="1:10">
      <c r="A1888" s="1"/>
      <c r="B1888" s="204"/>
      <c r="C1888" s="1"/>
      <c r="D1888" s="1"/>
      <c r="E1888" s="1"/>
      <c r="F1888" s="279"/>
      <c r="G1888" s="1"/>
      <c r="J1888" s="34"/>
    </row>
    <row r="1889" spans="1:10">
      <c r="A1889" s="1"/>
      <c r="B1889" s="204"/>
      <c r="C1889" s="1"/>
      <c r="D1889" s="1"/>
      <c r="E1889" s="1"/>
      <c r="F1889" s="279"/>
      <c r="G1889" s="1"/>
      <c r="J1889" s="34"/>
    </row>
    <row r="1890" spans="1:10">
      <c r="A1890" s="1"/>
      <c r="B1890" s="204"/>
      <c r="C1890" s="1"/>
      <c r="D1890" s="1"/>
      <c r="E1890" s="1"/>
      <c r="F1890" s="279"/>
      <c r="G1890" s="1"/>
      <c r="J1890" s="34"/>
    </row>
    <row r="1891" spans="1:10">
      <c r="A1891" s="1"/>
      <c r="B1891" s="204"/>
      <c r="C1891" s="1"/>
      <c r="D1891" s="1"/>
      <c r="E1891" s="1"/>
      <c r="F1891" s="279"/>
      <c r="G1891" s="1"/>
      <c r="J1891" s="34"/>
    </row>
    <row r="1892" spans="1:10">
      <c r="A1892" s="1"/>
      <c r="B1892" s="204"/>
      <c r="C1892" s="1"/>
      <c r="D1892" s="1"/>
      <c r="E1892" s="1"/>
      <c r="F1892" s="279"/>
      <c r="G1892" s="1"/>
      <c r="J1892" s="34"/>
    </row>
    <row r="1893" spans="1:10">
      <c r="A1893" s="1"/>
      <c r="B1893" s="204"/>
      <c r="C1893" s="1"/>
      <c r="D1893" s="1"/>
      <c r="E1893" s="1"/>
      <c r="F1893" s="279"/>
      <c r="G1893" s="1"/>
      <c r="J1893" s="34"/>
    </row>
    <row r="1894" spans="1:10">
      <c r="A1894" s="1"/>
      <c r="B1894" s="204"/>
      <c r="C1894" s="1"/>
      <c r="D1894" s="1"/>
      <c r="E1894" s="1"/>
      <c r="F1894" s="279"/>
      <c r="G1894" s="1"/>
      <c r="J1894" s="34"/>
    </row>
    <row r="1895" spans="1:10">
      <c r="A1895" s="1"/>
      <c r="B1895" s="204"/>
      <c r="C1895" s="1"/>
      <c r="D1895" s="1"/>
      <c r="E1895" s="1"/>
      <c r="F1895" s="279"/>
      <c r="G1895" s="1"/>
      <c r="J1895" s="34"/>
    </row>
    <row r="1896" spans="1:10">
      <c r="A1896" s="1"/>
      <c r="B1896" s="204"/>
      <c r="C1896" s="1"/>
      <c r="D1896" s="1"/>
      <c r="E1896" s="1"/>
      <c r="F1896" s="279"/>
      <c r="G1896" s="1"/>
      <c r="J1896" s="34"/>
    </row>
    <row r="1897" spans="1:10">
      <c r="A1897" s="1"/>
      <c r="B1897" s="204"/>
      <c r="C1897" s="1"/>
      <c r="D1897" s="1"/>
      <c r="E1897" s="1"/>
      <c r="F1897" s="279"/>
      <c r="G1897" s="1"/>
      <c r="J1897" s="34"/>
    </row>
    <row r="1898" spans="1:10">
      <c r="A1898" s="1"/>
      <c r="B1898" s="204"/>
      <c r="C1898" s="1"/>
      <c r="D1898" s="1"/>
      <c r="E1898" s="1"/>
      <c r="F1898" s="279"/>
      <c r="G1898" s="1"/>
      <c r="J1898" s="34"/>
    </row>
    <row r="1899" spans="1:10">
      <c r="A1899" s="1"/>
      <c r="B1899" s="204"/>
      <c r="C1899" s="1"/>
      <c r="D1899" s="1"/>
      <c r="E1899" s="1"/>
      <c r="F1899" s="279"/>
      <c r="G1899" s="1"/>
      <c r="J1899" s="34"/>
    </row>
    <row r="1900" spans="1:10">
      <c r="A1900" s="1"/>
      <c r="B1900" s="204"/>
      <c r="C1900" s="1"/>
      <c r="D1900" s="1"/>
      <c r="E1900" s="1"/>
      <c r="F1900" s="279"/>
      <c r="G1900" s="1"/>
      <c r="J1900" s="34"/>
    </row>
    <row r="1901" spans="1:10">
      <c r="A1901" s="1"/>
      <c r="B1901" s="204"/>
      <c r="C1901" s="1"/>
      <c r="D1901" s="1"/>
      <c r="E1901" s="1"/>
      <c r="F1901" s="279"/>
      <c r="G1901" s="1"/>
      <c r="J1901" s="34"/>
    </row>
    <row r="1902" spans="1:10">
      <c r="A1902" s="1"/>
      <c r="B1902" s="204"/>
      <c r="C1902" s="1"/>
      <c r="D1902" s="1"/>
      <c r="E1902" s="1"/>
      <c r="F1902" s="279"/>
      <c r="G1902" s="1"/>
      <c r="J1902" s="34"/>
    </row>
    <row r="1903" spans="1:10">
      <c r="A1903" s="1"/>
      <c r="B1903" s="204"/>
      <c r="C1903" s="1"/>
      <c r="D1903" s="1"/>
      <c r="E1903" s="1"/>
      <c r="F1903" s="279"/>
      <c r="G1903" s="1"/>
      <c r="J1903" s="34"/>
    </row>
    <row r="1904" spans="1:10">
      <c r="A1904" s="1"/>
      <c r="B1904" s="204"/>
      <c r="C1904" s="1"/>
      <c r="D1904" s="1"/>
      <c r="E1904" s="1"/>
      <c r="F1904" s="279"/>
      <c r="G1904" s="1"/>
      <c r="J1904" s="34"/>
    </row>
    <row r="1905" spans="1:10">
      <c r="A1905" s="1"/>
      <c r="B1905" s="204"/>
      <c r="C1905" s="1"/>
      <c r="D1905" s="1"/>
      <c r="E1905" s="1"/>
      <c r="F1905" s="279"/>
      <c r="G1905" s="1"/>
      <c r="J1905" s="34"/>
    </row>
    <row r="1906" spans="1:10">
      <c r="A1906" s="1"/>
      <c r="B1906" s="204"/>
      <c r="C1906" s="1"/>
      <c r="D1906" s="1"/>
      <c r="E1906" s="1"/>
      <c r="F1906" s="279"/>
      <c r="G1906" s="1"/>
      <c r="J1906" s="34"/>
    </row>
    <row r="1907" spans="1:10">
      <c r="A1907" s="1"/>
      <c r="B1907" s="204"/>
      <c r="C1907" s="1"/>
      <c r="D1907" s="1"/>
      <c r="E1907" s="1"/>
      <c r="F1907" s="279"/>
      <c r="G1907" s="1"/>
      <c r="J1907" s="34"/>
    </row>
    <row r="1908" spans="1:10">
      <c r="A1908" s="1"/>
      <c r="B1908" s="204"/>
      <c r="C1908" s="1"/>
      <c r="D1908" s="1"/>
      <c r="E1908" s="1"/>
      <c r="F1908" s="279"/>
      <c r="G1908" s="1"/>
      <c r="J1908" s="34"/>
    </row>
    <row r="1909" spans="1:10">
      <c r="A1909" s="1"/>
      <c r="B1909" s="204"/>
      <c r="C1909" s="1"/>
      <c r="D1909" s="1"/>
      <c r="E1909" s="1"/>
      <c r="F1909" s="279"/>
      <c r="G1909" s="1"/>
      <c r="J1909" s="34"/>
    </row>
    <row r="1910" spans="1:10">
      <c r="A1910" s="1"/>
      <c r="B1910" s="204"/>
      <c r="C1910" s="1"/>
      <c r="D1910" s="1"/>
      <c r="E1910" s="1"/>
      <c r="F1910" s="279"/>
      <c r="G1910" s="1"/>
      <c r="J1910" s="34"/>
    </row>
    <row r="1911" spans="1:10">
      <c r="A1911" s="1"/>
      <c r="B1911" s="204"/>
      <c r="C1911" s="1"/>
      <c r="D1911" s="1"/>
      <c r="E1911" s="1"/>
      <c r="F1911" s="279"/>
      <c r="G1911" s="1"/>
      <c r="J1911" s="34"/>
    </row>
    <row r="1912" spans="1:10">
      <c r="A1912" s="1"/>
      <c r="B1912" s="204"/>
      <c r="C1912" s="1"/>
      <c r="D1912" s="1"/>
      <c r="E1912" s="1"/>
      <c r="F1912" s="279"/>
      <c r="G1912" s="1"/>
      <c r="J1912" s="34"/>
    </row>
    <row r="1913" spans="1:10">
      <c r="A1913" s="1"/>
      <c r="B1913" s="204"/>
      <c r="C1913" s="1"/>
      <c r="D1913" s="1"/>
      <c r="E1913" s="1"/>
      <c r="F1913" s="279"/>
      <c r="G1913" s="1"/>
      <c r="J1913" s="34"/>
    </row>
    <row r="1914" spans="1:10">
      <c r="A1914" s="1"/>
      <c r="B1914" s="204"/>
      <c r="C1914" s="1"/>
      <c r="D1914" s="1"/>
      <c r="E1914" s="1"/>
      <c r="F1914" s="279"/>
      <c r="G1914" s="1"/>
      <c r="J1914" s="34"/>
    </row>
    <row r="1915" spans="1:10">
      <c r="A1915" s="1"/>
      <c r="B1915" s="204"/>
      <c r="C1915" s="1"/>
      <c r="D1915" s="1"/>
      <c r="E1915" s="1"/>
      <c r="F1915" s="279"/>
      <c r="G1915" s="1"/>
      <c r="J1915" s="34"/>
    </row>
    <row r="1916" spans="1:10">
      <c r="A1916" s="1"/>
      <c r="B1916" s="204"/>
      <c r="C1916" s="1"/>
      <c r="D1916" s="1"/>
      <c r="E1916" s="1"/>
      <c r="F1916" s="279"/>
      <c r="G1916" s="1"/>
      <c r="J1916" s="34"/>
    </row>
    <row r="1917" spans="1:10">
      <c r="A1917" s="1"/>
      <c r="B1917" s="204"/>
      <c r="C1917" s="1"/>
      <c r="D1917" s="1"/>
      <c r="E1917" s="1"/>
      <c r="F1917" s="279"/>
      <c r="G1917" s="1"/>
      <c r="J1917" s="34"/>
    </row>
    <row r="1918" spans="1:10">
      <c r="A1918" s="1"/>
      <c r="B1918" s="204"/>
      <c r="C1918" s="1"/>
      <c r="D1918" s="1"/>
      <c r="E1918" s="1"/>
      <c r="F1918" s="279"/>
      <c r="G1918" s="1"/>
      <c r="J1918" s="34"/>
    </row>
    <row r="1919" spans="1:10">
      <c r="A1919" s="1"/>
      <c r="B1919" s="204"/>
      <c r="C1919" s="1"/>
      <c r="D1919" s="1"/>
      <c r="E1919" s="1"/>
      <c r="F1919" s="279"/>
      <c r="G1919" s="1"/>
      <c r="J1919" s="34"/>
    </row>
    <row r="1920" spans="1:10">
      <c r="A1920" s="1"/>
      <c r="B1920" s="204"/>
      <c r="C1920" s="1"/>
      <c r="D1920" s="1"/>
      <c r="E1920" s="1"/>
      <c r="F1920" s="279"/>
      <c r="G1920" s="1"/>
      <c r="J1920" s="34"/>
    </row>
    <row r="1921" spans="1:10">
      <c r="A1921" s="1"/>
      <c r="B1921" s="204"/>
      <c r="C1921" s="1"/>
      <c r="D1921" s="1"/>
      <c r="E1921" s="1"/>
      <c r="F1921" s="279"/>
      <c r="G1921" s="1"/>
      <c r="J1921" s="34"/>
    </row>
    <row r="1922" spans="1:10">
      <c r="A1922" s="1"/>
      <c r="B1922" s="204"/>
      <c r="C1922" s="1"/>
      <c r="D1922" s="1"/>
      <c r="E1922" s="1"/>
      <c r="F1922" s="279"/>
      <c r="G1922" s="1"/>
      <c r="J1922" s="34"/>
    </row>
    <row r="1923" spans="1:10">
      <c r="A1923" s="1"/>
      <c r="B1923" s="204"/>
      <c r="C1923" s="1"/>
      <c r="D1923" s="1"/>
      <c r="E1923" s="1"/>
      <c r="F1923" s="279"/>
      <c r="G1923" s="1"/>
      <c r="J1923" s="34"/>
    </row>
    <row r="1924" spans="1:10">
      <c r="A1924" s="1"/>
      <c r="B1924" s="204"/>
      <c r="C1924" s="1"/>
      <c r="D1924" s="1"/>
      <c r="E1924" s="1"/>
      <c r="F1924" s="279"/>
      <c r="G1924" s="1"/>
      <c r="J1924" s="34"/>
    </row>
    <row r="1925" spans="1:10">
      <c r="A1925" s="1"/>
      <c r="B1925" s="204"/>
      <c r="C1925" s="1"/>
      <c r="D1925" s="1"/>
      <c r="E1925" s="1"/>
      <c r="F1925" s="279"/>
      <c r="G1925" s="1"/>
      <c r="J1925" s="34"/>
    </row>
    <row r="1926" spans="1:10">
      <c r="A1926" s="1"/>
      <c r="B1926" s="204"/>
      <c r="C1926" s="1"/>
      <c r="D1926" s="1"/>
      <c r="E1926" s="1"/>
      <c r="F1926" s="279"/>
      <c r="G1926" s="1"/>
      <c r="J1926" s="34"/>
    </row>
    <row r="1927" spans="1:10">
      <c r="A1927" s="1"/>
      <c r="B1927" s="204"/>
      <c r="C1927" s="1"/>
      <c r="D1927" s="1"/>
      <c r="E1927" s="1"/>
      <c r="F1927" s="279"/>
      <c r="G1927" s="1"/>
      <c r="J1927" s="34"/>
    </row>
    <row r="1928" spans="1:10">
      <c r="A1928" s="1"/>
      <c r="B1928" s="204"/>
      <c r="C1928" s="1"/>
      <c r="D1928" s="1"/>
      <c r="E1928" s="1"/>
      <c r="F1928" s="279"/>
      <c r="G1928" s="1"/>
      <c r="J1928" s="34"/>
    </row>
    <row r="1929" spans="1:10">
      <c r="A1929" s="1"/>
      <c r="B1929" s="204"/>
      <c r="C1929" s="1"/>
      <c r="D1929" s="1"/>
      <c r="E1929" s="1"/>
      <c r="F1929" s="279"/>
      <c r="G1929" s="1"/>
      <c r="J1929" s="34"/>
    </row>
    <row r="1930" spans="1:10">
      <c r="A1930" s="1"/>
      <c r="B1930" s="204"/>
      <c r="C1930" s="1"/>
      <c r="D1930" s="1"/>
      <c r="E1930" s="1"/>
      <c r="F1930" s="279"/>
      <c r="G1930" s="1"/>
      <c r="J1930" s="34"/>
    </row>
    <row r="1931" spans="1:10">
      <c r="A1931" s="1"/>
      <c r="B1931" s="204"/>
      <c r="C1931" s="1"/>
      <c r="D1931" s="1"/>
      <c r="E1931" s="1"/>
      <c r="F1931" s="279"/>
      <c r="G1931" s="1"/>
      <c r="J1931" s="34"/>
    </row>
    <row r="1932" spans="1:10">
      <c r="A1932" s="1"/>
      <c r="B1932" s="204"/>
      <c r="C1932" s="1"/>
      <c r="D1932" s="1"/>
      <c r="E1932" s="1"/>
      <c r="F1932" s="279"/>
      <c r="G1932" s="1"/>
      <c r="J1932" s="34"/>
    </row>
    <row r="1933" spans="1:10">
      <c r="A1933" s="1"/>
      <c r="B1933" s="204"/>
      <c r="C1933" s="1"/>
      <c r="D1933" s="1"/>
      <c r="E1933" s="1"/>
      <c r="F1933" s="279"/>
      <c r="G1933" s="1"/>
      <c r="J1933" s="34"/>
    </row>
    <row r="1934" spans="1:10">
      <c r="A1934" s="1"/>
      <c r="B1934" s="204"/>
      <c r="C1934" s="1"/>
      <c r="D1934" s="1"/>
      <c r="E1934" s="1"/>
      <c r="F1934" s="279"/>
      <c r="G1934" s="1"/>
      <c r="J1934" s="34"/>
    </row>
    <row r="1935" spans="1:10">
      <c r="A1935" s="1"/>
      <c r="B1935" s="204"/>
      <c r="C1935" s="1"/>
      <c r="D1935" s="1"/>
      <c r="E1935" s="1"/>
      <c r="F1935" s="279"/>
      <c r="G1935" s="1"/>
      <c r="J1935" s="34"/>
    </row>
    <row r="1936" spans="1:10">
      <c r="A1936" s="1"/>
      <c r="B1936" s="204"/>
      <c r="C1936" s="1"/>
      <c r="D1936" s="1"/>
      <c r="E1936" s="1"/>
      <c r="F1936" s="279"/>
      <c r="G1936" s="1"/>
      <c r="J1936" s="34"/>
    </row>
    <row r="1937" spans="1:10">
      <c r="A1937" s="1"/>
      <c r="B1937" s="204"/>
      <c r="C1937" s="1"/>
      <c r="D1937" s="1"/>
      <c r="E1937" s="1"/>
      <c r="F1937" s="279"/>
      <c r="G1937" s="1"/>
      <c r="J1937" s="34"/>
    </row>
    <row r="1938" spans="1:10">
      <c r="A1938" s="1"/>
      <c r="B1938" s="204"/>
      <c r="C1938" s="1"/>
      <c r="D1938" s="1"/>
      <c r="E1938" s="1"/>
      <c r="F1938" s="279"/>
      <c r="G1938" s="1"/>
      <c r="J1938" s="34"/>
    </row>
    <row r="1939" spans="1:10">
      <c r="A1939" s="1"/>
      <c r="B1939" s="204"/>
      <c r="C1939" s="1"/>
      <c r="D1939" s="1"/>
      <c r="E1939" s="1"/>
      <c r="F1939" s="279"/>
      <c r="G1939" s="1"/>
      <c r="J1939" s="34"/>
    </row>
    <row r="1940" spans="1:10">
      <c r="A1940" s="1"/>
      <c r="B1940" s="204"/>
      <c r="C1940" s="1"/>
      <c r="D1940" s="1"/>
      <c r="E1940" s="1"/>
      <c r="F1940" s="279"/>
      <c r="G1940" s="1"/>
      <c r="J1940" s="34"/>
    </row>
    <row r="1941" spans="1:10">
      <c r="A1941" s="1"/>
      <c r="B1941" s="204"/>
      <c r="C1941" s="1"/>
      <c r="D1941" s="1"/>
      <c r="E1941" s="1"/>
      <c r="F1941" s="279"/>
      <c r="G1941" s="1"/>
      <c r="J1941" s="34"/>
    </row>
    <row r="1942" spans="1:10">
      <c r="A1942" s="1"/>
      <c r="B1942" s="204"/>
      <c r="C1942" s="1"/>
      <c r="D1942" s="1"/>
      <c r="E1942" s="1"/>
      <c r="F1942" s="279"/>
      <c r="G1942" s="1"/>
      <c r="J1942" s="34"/>
    </row>
    <row r="1943" spans="1:10">
      <c r="A1943" s="1"/>
      <c r="B1943" s="204"/>
      <c r="C1943" s="1"/>
      <c r="D1943" s="1"/>
      <c r="E1943" s="1"/>
      <c r="F1943" s="279"/>
      <c r="G1943" s="1"/>
      <c r="J1943" s="34"/>
    </row>
    <row r="1944" spans="1:10">
      <c r="A1944" s="1"/>
      <c r="B1944" s="204"/>
      <c r="C1944" s="1"/>
      <c r="D1944" s="1"/>
      <c r="E1944" s="1"/>
      <c r="F1944" s="279"/>
      <c r="G1944" s="1"/>
      <c r="J1944" s="34"/>
    </row>
    <row r="1945" spans="1:10">
      <c r="A1945" s="1"/>
      <c r="B1945" s="204"/>
      <c r="C1945" s="1"/>
      <c r="D1945" s="1"/>
      <c r="E1945" s="1"/>
      <c r="F1945" s="279"/>
      <c r="G1945" s="1"/>
      <c r="J1945" s="34"/>
    </row>
    <row r="1946" spans="1:10">
      <c r="A1946" s="1"/>
      <c r="B1946" s="204"/>
      <c r="C1946" s="1"/>
      <c r="D1946" s="1"/>
      <c r="E1946" s="1"/>
      <c r="F1946" s="279"/>
      <c r="G1946" s="1"/>
      <c r="J1946" s="34"/>
    </row>
    <row r="1947" spans="1:10">
      <c r="A1947" s="1"/>
      <c r="B1947" s="204"/>
      <c r="C1947" s="1"/>
      <c r="D1947" s="1"/>
      <c r="E1947" s="1"/>
      <c r="F1947" s="279"/>
      <c r="G1947" s="1"/>
      <c r="J1947" s="34"/>
    </row>
    <row r="1948" spans="1:10">
      <c r="A1948" s="1"/>
      <c r="B1948" s="204"/>
      <c r="C1948" s="1"/>
      <c r="D1948" s="1"/>
      <c r="E1948" s="1"/>
      <c r="F1948" s="279"/>
      <c r="G1948" s="1"/>
      <c r="J1948" s="34"/>
    </row>
    <row r="1949" spans="1:10">
      <c r="A1949" s="1"/>
      <c r="B1949" s="204"/>
      <c r="C1949" s="1"/>
      <c r="D1949" s="1"/>
      <c r="E1949" s="1"/>
      <c r="F1949" s="279"/>
      <c r="G1949" s="1"/>
      <c r="J1949" s="34"/>
    </row>
    <row r="1950" spans="1:10">
      <c r="A1950" s="1"/>
      <c r="B1950" s="204"/>
      <c r="C1950" s="1"/>
      <c r="D1950" s="1"/>
      <c r="E1950" s="1"/>
      <c r="F1950" s="279"/>
      <c r="G1950" s="1"/>
      <c r="J1950" s="34"/>
    </row>
    <row r="1951" spans="1:10">
      <c r="A1951" s="1"/>
      <c r="B1951" s="204"/>
      <c r="C1951" s="1"/>
      <c r="D1951" s="1"/>
      <c r="E1951" s="1"/>
      <c r="F1951" s="279"/>
      <c r="G1951" s="1"/>
      <c r="J1951" s="34"/>
    </row>
    <row r="1952" spans="1:10">
      <c r="A1952" s="1"/>
      <c r="B1952" s="204"/>
      <c r="C1952" s="1"/>
      <c r="D1952" s="1"/>
      <c r="E1952" s="1"/>
      <c r="F1952" s="279"/>
      <c r="G1952" s="1"/>
      <c r="J1952" s="34"/>
    </row>
    <row r="1953" spans="1:10">
      <c r="A1953" s="1"/>
      <c r="B1953" s="204"/>
      <c r="C1953" s="1"/>
      <c r="D1953" s="1"/>
      <c r="E1953" s="1"/>
      <c r="F1953" s="279"/>
      <c r="G1953" s="1"/>
      <c r="J1953" s="34"/>
    </row>
    <row r="1954" spans="1:10">
      <c r="A1954" s="1"/>
      <c r="B1954" s="204"/>
      <c r="C1954" s="1"/>
      <c r="D1954" s="1"/>
      <c r="E1954" s="1"/>
      <c r="F1954" s="279"/>
      <c r="G1954" s="1"/>
      <c r="J1954" s="34"/>
    </row>
    <row r="1955" spans="1:10">
      <c r="A1955" s="1"/>
      <c r="B1955" s="204"/>
      <c r="C1955" s="1"/>
      <c r="D1955" s="1"/>
      <c r="E1955" s="1"/>
      <c r="F1955" s="279"/>
      <c r="G1955" s="1"/>
      <c r="J1955" s="34"/>
    </row>
    <row r="1956" spans="1:10">
      <c r="A1956" s="1"/>
      <c r="B1956" s="204"/>
      <c r="C1956" s="1"/>
      <c r="D1956" s="1"/>
      <c r="E1956" s="1"/>
      <c r="F1956" s="279"/>
      <c r="G1956" s="1"/>
      <c r="J1956" s="34"/>
    </row>
    <row r="1957" spans="1:10">
      <c r="A1957" s="1"/>
      <c r="B1957" s="204"/>
      <c r="C1957" s="1"/>
      <c r="D1957" s="1"/>
      <c r="E1957" s="1"/>
      <c r="F1957" s="279"/>
      <c r="G1957" s="1"/>
      <c r="J1957" s="34"/>
    </row>
    <row r="1958" spans="1:10">
      <c r="A1958" s="1"/>
      <c r="B1958" s="204"/>
      <c r="C1958" s="1"/>
      <c r="D1958" s="1"/>
      <c r="E1958" s="1"/>
      <c r="F1958" s="279"/>
      <c r="G1958" s="1"/>
      <c r="J1958" s="34"/>
    </row>
    <row r="1959" spans="1:10">
      <c r="A1959" s="1"/>
      <c r="B1959" s="204"/>
      <c r="C1959" s="1"/>
      <c r="D1959" s="1"/>
      <c r="E1959" s="1"/>
      <c r="F1959" s="279"/>
      <c r="G1959" s="1"/>
      <c r="J1959" s="34"/>
    </row>
    <row r="1960" spans="1:10">
      <c r="A1960" s="1"/>
      <c r="B1960" s="204"/>
      <c r="C1960" s="1"/>
      <c r="D1960" s="1"/>
      <c r="E1960" s="1"/>
      <c r="F1960" s="279"/>
      <c r="G1960" s="1"/>
      <c r="J1960" s="34"/>
    </row>
    <row r="1961" spans="1:10">
      <c r="A1961" s="1"/>
      <c r="B1961" s="204"/>
      <c r="C1961" s="1"/>
      <c r="D1961" s="1"/>
      <c r="E1961" s="1"/>
      <c r="F1961" s="279"/>
      <c r="G1961" s="1"/>
      <c r="J1961" s="34"/>
    </row>
    <row r="1962" spans="1:10">
      <c r="A1962" s="1"/>
      <c r="B1962" s="204"/>
      <c r="C1962" s="1"/>
      <c r="D1962" s="1"/>
      <c r="E1962" s="1"/>
      <c r="F1962" s="279"/>
      <c r="G1962" s="1"/>
      <c r="J1962" s="34"/>
    </row>
    <row r="1963" spans="1:10">
      <c r="A1963" s="1"/>
      <c r="B1963" s="204"/>
      <c r="C1963" s="1"/>
      <c r="D1963" s="1"/>
      <c r="E1963" s="1"/>
      <c r="F1963" s="279"/>
      <c r="G1963" s="1"/>
      <c r="J1963" s="34"/>
    </row>
    <row r="1964" spans="1:10">
      <c r="A1964" s="1"/>
      <c r="B1964" s="204"/>
      <c r="C1964" s="1"/>
      <c r="D1964" s="1"/>
      <c r="E1964" s="1"/>
      <c r="F1964" s="279"/>
      <c r="G1964" s="1"/>
      <c r="J1964" s="34"/>
    </row>
    <row r="1965" spans="1:10">
      <c r="A1965" s="1"/>
      <c r="B1965" s="204"/>
      <c r="C1965" s="1"/>
      <c r="D1965" s="1"/>
      <c r="E1965" s="1"/>
      <c r="F1965" s="279"/>
      <c r="G1965" s="1"/>
      <c r="J1965" s="34"/>
    </row>
    <row r="1966" spans="1:10">
      <c r="A1966" s="1"/>
      <c r="B1966" s="204"/>
      <c r="C1966" s="1"/>
      <c r="D1966" s="1"/>
      <c r="E1966" s="1"/>
      <c r="F1966" s="279"/>
      <c r="G1966" s="1"/>
      <c r="J1966" s="34"/>
    </row>
    <row r="1967" spans="1:10">
      <c r="A1967" s="1"/>
      <c r="B1967" s="204"/>
      <c r="C1967" s="1"/>
      <c r="D1967" s="1"/>
      <c r="E1967" s="1"/>
      <c r="F1967" s="279"/>
      <c r="G1967" s="1"/>
      <c r="J1967" s="34"/>
    </row>
    <row r="1968" spans="1:10">
      <c r="A1968" s="1"/>
      <c r="B1968" s="204"/>
      <c r="C1968" s="1"/>
      <c r="D1968" s="1"/>
      <c r="E1968" s="1"/>
      <c r="F1968" s="279"/>
      <c r="G1968" s="1"/>
      <c r="J1968" s="34"/>
    </row>
    <row r="1969" spans="1:10">
      <c r="A1969" s="1"/>
      <c r="B1969" s="204"/>
      <c r="C1969" s="1"/>
      <c r="D1969" s="1"/>
      <c r="E1969" s="1"/>
      <c r="F1969" s="279"/>
      <c r="G1969" s="1"/>
      <c r="J1969" s="34"/>
    </row>
    <row r="1970" spans="1:10">
      <c r="A1970" s="1"/>
      <c r="B1970" s="204"/>
      <c r="C1970" s="1"/>
      <c r="D1970" s="1"/>
      <c r="E1970" s="1"/>
      <c r="F1970" s="279"/>
      <c r="G1970" s="1"/>
      <c r="J1970" s="34"/>
    </row>
    <row r="1971" spans="1:10">
      <c r="A1971" s="1"/>
      <c r="B1971" s="204"/>
      <c r="C1971" s="1"/>
      <c r="D1971" s="1"/>
      <c r="E1971" s="1"/>
      <c r="F1971" s="279"/>
      <c r="G1971" s="1"/>
      <c r="J1971" s="34"/>
    </row>
    <row r="1972" spans="1:10">
      <c r="A1972" s="1"/>
      <c r="B1972" s="204"/>
      <c r="C1972" s="1"/>
      <c r="D1972" s="1"/>
      <c r="E1972" s="1"/>
      <c r="F1972" s="279"/>
      <c r="G1972" s="1"/>
      <c r="J1972" s="34"/>
    </row>
    <row r="1973" spans="1:10">
      <c r="A1973" s="1"/>
      <c r="B1973" s="204"/>
      <c r="C1973" s="1"/>
      <c r="D1973" s="1"/>
      <c r="E1973" s="1"/>
      <c r="F1973" s="279"/>
      <c r="G1973" s="1"/>
      <c r="J1973" s="34"/>
    </row>
    <row r="1974" spans="1:10">
      <c r="A1974" s="1"/>
      <c r="B1974" s="204"/>
      <c r="C1974" s="1"/>
      <c r="D1974" s="1"/>
      <c r="E1974" s="1"/>
      <c r="F1974" s="279"/>
      <c r="G1974" s="1"/>
      <c r="J1974" s="34"/>
    </row>
    <row r="1975" spans="1:10">
      <c r="A1975" s="1"/>
      <c r="B1975" s="204"/>
      <c r="C1975" s="1"/>
      <c r="D1975" s="1"/>
      <c r="E1975" s="1"/>
      <c r="F1975" s="279"/>
      <c r="G1975" s="1"/>
      <c r="J1975" s="34"/>
    </row>
    <row r="1976" spans="1:10">
      <c r="A1976" s="1"/>
      <c r="B1976" s="204"/>
      <c r="C1976" s="1"/>
      <c r="D1976" s="1"/>
      <c r="E1976" s="1"/>
      <c r="F1976" s="279"/>
      <c r="G1976" s="1"/>
      <c r="J1976" s="34"/>
    </row>
    <row r="1977" spans="1:10">
      <c r="A1977" s="1"/>
      <c r="B1977" s="204"/>
      <c r="C1977" s="1"/>
      <c r="D1977" s="1"/>
      <c r="E1977" s="1"/>
      <c r="F1977" s="279"/>
      <c r="G1977" s="1"/>
      <c r="J1977" s="34"/>
    </row>
    <row r="1978" spans="1:10">
      <c r="A1978" s="1"/>
      <c r="B1978" s="204"/>
      <c r="C1978" s="1"/>
      <c r="D1978" s="1"/>
      <c r="E1978" s="1"/>
      <c r="F1978" s="279"/>
      <c r="G1978" s="1"/>
      <c r="J1978" s="34"/>
    </row>
    <row r="1979" spans="1:10">
      <c r="A1979" s="1"/>
      <c r="B1979" s="204"/>
      <c r="C1979" s="1"/>
      <c r="D1979" s="1"/>
      <c r="E1979" s="1"/>
      <c r="F1979" s="279"/>
      <c r="G1979" s="1"/>
      <c r="J1979" s="34"/>
    </row>
    <row r="1980" spans="1:10">
      <c r="A1980" s="1"/>
      <c r="B1980" s="204"/>
      <c r="C1980" s="1"/>
      <c r="D1980" s="1"/>
      <c r="E1980" s="1"/>
      <c r="F1980" s="279"/>
      <c r="G1980" s="1"/>
      <c r="J1980" s="34"/>
    </row>
    <row r="1981" spans="1:10">
      <c r="A1981" s="1"/>
      <c r="B1981" s="204"/>
      <c r="C1981" s="1"/>
      <c r="D1981" s="1"/>
      <c r="E1981" s="1"/>
      <c r="F1981" s="279"/>
      <c r="G1981" s="1"/>
      <c r="J1981" s="34"/>
    </row>
    <row r="1982" spans="1:10">
      <c r="A1982" s="1"/>
      <c r="B1982" s="204"/>
      <c r="C1982" s="1"/>
      <c r="D1982" s="1"/>
      <c r="E1982" s="1"/>
      <c r="F1982" s="279"/>
      <c r="G1982" s="1"/>
      <c r="J1982" s="34"/>
    </row>
    <row r="1983" spans="1:10">
      <c r="A1983" s="1"/>
      <c r="B1983" s="204"/>
      <c r="C1983" s="1"/>
      <c r="D1983" s="1"/>
      <c r="E1983" s="1"/>
      <c r="F1983" s="279"/>
      <c r="G1983" s="1"/>
      <c r="J1983" s="34"/>
    </row>
    <row r="1984" spans="1:10">
      <c r="A1984" s="1"/>
      <c r="B1984" s="204"/>
      <c r="C1984" s="1"/>
      <c r="D1984" s="1"/>
      <c r="E1984" s="1"/>
      <c r="F1984" s="279"/>
      <c r="G1984" s="1"/>
      <c r="J1984" s="34"/>
    </row>
    <row r="1985" spans="1:10">
      <c r="A1985" s="1"/>
      <c r="B1985" s="204"/>
      <c r="C1985" s="1"/>
      <c r="D1985" s="1"/>
      <c r="E1985" s="1"/>
      <c r="F1985" s="279"/>
      <c r="G1985" s="1"/>
      <c r="J1985" s="34"/>
    </row>
    <row r="1986" spans="1:10">
      <c r="A1986" s="1"/>
      <c r="B1986" s="204"/>
      <c r="C1986" s="1"/>
      <c r="D1986" s="1"/>
      <c r="E1986" s="1"/>
      <c r="F1986" s="279"/>
      <c r="G1986" s="1"/>
      <c r="J1986" s="34"/>
    </row>
    <row r="1987" spans="1:10">
      <c r="A1987" s="1"/>
      <c r="B1987" s="204"/>
      <c r="C1987" s="1"/>
      <c r="D1987" s="1"/>
      <c r="E1987" s="1"/>
      <c r="F1987" s="279"/>
      <c r="G1987" s="1"/>
      <c r="J1987" s="34"/>
    </row>
    <row r="1988" spans="1:10">
      <c r="A1988" s="1"/>
      <c r="B1988" s="204"/>
      <c r="C1988" s="1"/>
      <c r="D1988" s="1"/>
      <c r="E1988" s="1"/>
      <c r="F1988" s="279"/>
      <c r="G1988" s="1"/>
      <c r="J1988" s="34"/>
    </row>
    <row r="1989" spans="1:10">
      <c r="A1989" s="1"/>
      <c r="B1989" s="204"/>
      <c r="C1989" s="1"/>
      <c r="D1989" s="1"/>
      <c r="E1989" s="1"/>
      <c r="F1989" s="279"/>
      <c r="G1989" s="1"/>
      <c r="J1989" s="34"/>
    </row>
    <row r="1990" spans="1:10">
      <c r="A1990" s="1"/>
      <c r="B1990" s="204"/>
      <c r="C1990" s="1"/>
      <c r="D1990" s="1"/>
      <c r="E1990" s="1"/>
      <c r="F1990" s="279"/>
      <c r="G1990" s="1"/>
      <c r="J1990" s="34"/>
    </row>
    <row r="1991" spans="1:10">
      <c r="A1991" s="1"/>
      <c r="B1991" s="204"/>
      <c r="C1991" s="1"/>
      <c r="D1991" s="1"/>
      <c r="E1991" s="1"/>
      <c r="F1991" s="279"/>
      <c r="G1991" s="1"/>
      <c r="J1991" s="34"/>
    </row>
    <row r="1992" spans="1:10">
      <c r="A1992" s="1"/>
      <c r="B1992" s="204"/>
      <c r="C1992" s="1"/>
      <c r="D1992" s="1"/>
      <c r="E1992" s="1"/>
      <c r="F1992" s="279"/>
      <c r="G1992" s="1"/>
      <c r="J1992" s="34"/>
    </row>
    <row r="1993" spans="1:10">
      <c r="A1993" s="1"/>
      <c r="B1993" s="204"/>
      <c r="C1993" s="1"/>
      <c r="D1993" s="1"/>
      <c r="E1993" s="1"/>
      <c r="F1993" s="279"/>
      <c r="G1993" s="1"/>
      <c r="J1993" s="34"/>
    </row>
    <row r="1994" spans="1:10">
      <c r="A1994" s="1"/>
      <c r="B1994" s="204"/>
      <c r="C1994" s="1"/>
      <c r="D1994" s="1"/>
      <c r="E1994" s="1"/>
      <c r="F1994" s="279"/>
      <c r="G1994" s="1"/>
      <c r="J1994" s="34"/>
    </row>
    <row r="1995" spans="1:10">
      <c r="A1995" s="1"/>
      <c r="B1995" s="204"/>
      <c r="C1995" s="1"/>
      <c r="D1995" s="1"/>
      <c r="E1995" s="1"/>
      <c r="F1995" s="279"/>
      <c r="G1995" s="1"/>
      <c r="J1995" s="34"/>
    </row>
    <row r="1996" spans="1:10">
      <c r="A1996" s="1"/>
      <c r="B1996" s="204"/>
      <c r="C1996" s="1"/>
      <c r="D1996" s="1"/>
      <c r="E1996" s="1"/>
      <c r="F1996" s="279"/>
      <c r="G1996" s="1"/>
      <c r="J1996" s="34"/>
    </row>
    <row r="1997" spans="1:10">
      <c r="A1997" s="1"/>
      <c r="B1997" s="204"/>
      <c r="C1997" s="1"/>
      <c r="D1997" s="1"/>
      <c r="E1997" s="1"/>
      <c r="F1997" s="279"/>
      <c r="G1997" s="1"/>
      <c r="J1997" s="34"/>
    </row>
    <row r="1998" spans="1:10">
      <c r="A1998" s="1"/>
      <c r="B1998" s="204"/>
      <c r="C1998" s="1"/>
      <c r="D1998" s="1"/>
      <c r="E1998" s="1"/>
      <c r="F1998" s="279"/>
      <c r="G1998" s="1"/>
      <c r="J1998" s="34"/>
    </row>
    <row r="1999" spans="1:10">
      <c r="A1999" s="1"/>
      <c r="B1999" s="204"/>
      <c r="C1999" s="1"/>
      <c r="D1999" s="1"/>
      <c r="E1999" s="1"/>
      <c r="F1999" s="279"/>
      <c r="G1999" s="1"/>
      <c r="J1999" s="34"/>
    </row>
    <row r="2000" spans="1:10">
      <c r="A2000" s="1"/>
      <c r="B2000" s="204"/>
      <c r="C2000" s="1"/>
      <c r="D2000" s="1"/>
      <c r="E2000" s="1"/>
      <c r="F2000" s="279"/>
      <c r="G2000" s="1"/>
      <c r="J2000" s="34"/>
    </row>
    <row r="2001" spans="1:10">
      <c r="A2001" s="1"/>
      <c r="B2001" s="204"/>
      <c r="C2001" s="1"/>
      <c r="D2001" s="1"/>
      <c r="E2001" s="1"/>
      <c r="F2001" s="279"/>
      <c r="G2001" s="1"/>
      <c r="J2001" s="34"/>
    </row>
    <row r="2002" spans="1:10">
      <c r="A2002" s="1"/>
      <c r="B2002" s="204"/>
      <c r="C2002" s="1"/>
      <c r="D2002" s="1"/>
      <c r="E2002" s="1"/>
      <c r="F2002" s="279"/>
      <c r="G2002" s="1"/>
      <c r="J2002" s="34"/>
    </row>
    <row r="2003" spans="1:10">
      <c r="A2003" s="1"/>
      <c r="B2003" s="204"/>
      <c r="C2003" s="1"/>
      <c r="D2003" s="1"/>
      <c r="E2003" s="1"/>
      <c r="F2003" s="279"/>
      <c r="G2003" s="1"/>
      <c r="J2003" s="34"/>
    </row>
    <row r="2004" spans="1:10">
      <c r="A2004" s="1"/>
      <c r="B2004" s="204"/>
      <c r="C2004" s="1"/>
      <c r="D2004" s="1"/>
      <c r="E2004" s="1"/>
      <c r="F2004" s="279"/>
      <c r="G2004" s="1"/>
      <c r="J2004" s="34"/>
    </row>
    <row r="2005" spans="1:10">
      <c r="A2005" s="1"/>
      <c r="B2005" s="204"/>
      <c r="C2005" s="1"/>
      <c r="D2005" s="1"/>
      <c r="E2005" s="1"/>
      <c r="F2005" s="279"/>
      <c r="G2005" s="1"/>
      <c r="J2005" s="34"/>
    </row>
    <row r="2006" spans="1:10">
      <c r="A2006" s="1"/>
      <c r="B2006" s="204"/>
      <c r="C2006" s="1"/>
      <c r="D2006" s="1"/>
      <c r="E2006" s="1"/>
      <c r="F2006" s="279"/>
      <c r="G2006" s="1"/>
      <c r="J2006" s="34"/>
    </row>
    <row r="2007" spans="1:10">
      <c r="A2007" s="1"/>
      <c r="B2007" s="204"/>
      <c r="C2007" s="1"/>
      <c r="D2007" s="1"/>
      <c r="E2007" s="1"/>
      <c r="F2007" s="279"/>
      <c r="G2007" s="1"/>
      <c r="J2007" s="34"/>
    </row>
    <row r="2008" spans="1:10">
      <c r="A2008" s="1"/>
      <c r="B2008" s="204"/>
      <c r="C2008" s="1"/>
      <c r="D2008" s="1"/>
      <c r="E2008" s="1"/>
      <c r="F2008" s="279"/>
      <c r="G2008" s="1"/>
      <c r="J2008" s="34"/>
    </row>
    <row r="2009" spans="1:10">
      <c r="A2009" s="1"/>
      <c r="B2009" s="204"/>
      <c r="C2009" s="1"/>
      <c r="D2009" s="1"/>
      <c r="E2009" s="1"/>
      <c r="F2009" s="279"/>
      <c r="G2009" s="1"/>
      <c r="J2009" s="34"/>
    </row>
    <row r="2010" spans="1:10">
      <c r="A2010" s="1"/>
      <c r="B2010" s="204"/>
      <c r="C2010" s="1"/>
      <c r="D2010" s="1"/>
      <c r="E2010" s="1"/>
      <c r="F2010" s="279"/>
      <c r="G2010" s="1"/>
      <c r="J2010" s="34"/>
    </row>
    <row r="2011" spans="1:10">
      <c r="A2011" s="1"/>
      <c r="B2011" s="204"/>
      <c r="C2011" s="1"/>
      <c r="D2011" s="1"/>
      <c r="E2011" s="1"/>
      <c r="F2011" s="279"/>
      <c r="G2011" s="1"/>
      <c r="J2011" s="34"/>
    </row>
    <row r="2012" spans="1:10">
      <c r="A2012" s="1"/>
      <c r="B2012" s="204"/>
      <c r="C2012" s="1"/>
      <c r="D2012" s="1"/>
      <c r="E2012" s="1"/>
      <c r="F2012" s="279"/>
      <c r="G2012" s="1"/>
      <c r="J2012" s="34"/>
    </row>
    <row r="2013" spans="1:10">
      <c r="A2013" s="1"/>
      <c r="B2013" s="204"/>
      <c r="C2013" s="1"/>
      <c r="D2013" s="1"/>
      <c r="E2013" s="1"/>
      <c r="F2013" s="279"/>
      <c r="G2013" s="1"/>
      <c r="J2013" s="34"/>
    </row>
    <row r="2014" spans="1:10">
      <c r="A2014" s="1"/>
      <c r="B2014" s="204"/>
      <c r="C2014" s="1"/>
      <c r="D2014" s="1"/>
      <c r="E2014" s="1"/>
      <c r="F2014" s="279"/>
      <c r="G2014" s="1"/>
      <c r="J2014" s="34"/>
    </row>
    <row r="2015" spans="1:10">
      <c r="A2015" s="1"/>
      <c r="B2015" s="204"/>
      <c r="C2015" s="1"/>
      <c r="D2015" s="1"/>
      <c r="E2015" s="1"/>
      <c r="F2015" s="279"/>
      <c r="G2015" s="1"/>
      <c r="J2015" s="34"/>
    </row>
    <row r="2016" spans="1:10">
      <c r="A2016" s="1"/>
      <c r="B2016" s="204"/>
      <c r="C2016" s="1"/>
      <c r="D2016" s="1"/>
      <c r="E2016" s="1"/>
      <c r="F2016" s="279"/>
      <c r="G2016" s="1"/>
      <c r="J2016" s="34"/>
    </row>
    <row r="2017" spans="1:10">
      <c r="A2017" s="1"/>
      <c r="B2017" s="204"/>
      <c r="C2017" s="1"/>
      <c r="D2017" s="1"/>
      <c r="E2017" s="1"/>
      <c r="F2017" s="279"/>
      <c r="G2017" s="1"/>
      <c r="J2017" s="34"/>
    </row>
    <row r="2018" spans="1:10">
      <c r="A2018" s="1"/>
      <c r="B2018" s="204"/>
      <c r="C2018" s="1"/>
      <c r="D2018" s="1"/>
      <c r="E2018" s="1"/>
      <c r="F2018" s="279"/>
      <c r="G2018" s="1"/>
      <c r="J2018" s="34"/>
    </row>
    <row r="2019" spans="1:10">
      <c r="A2019" s="1"/>
      <c r="B2019" s="204"/>
      <c r="C2019" s="1"/>
      <c r="D2019" s="1"/>
      <c r="E2019" s="1"/>
      <c r="F2019" s="279"/>
      <c r="G2019" s="1"/>
      <c r="J2019" s="34"/>
    </row>
    <row r="2020" spans="1:10">
      <c r="A2020" s="1"/>
      <c r="B2020" s="204"/>
      <c r="C2020" s="1"/>
      <c r="D2020" s="1"/>
      <c r="E2020" s="1"/>
      <c r="F2020" s="279"/>
      <c r="G2020" s="1"/>
      <c r="J2020" s="34"/>
    </row>
    <row r="2021" spans="1:10">
      <c r="A2021" s="1"/>
      <c r="B2021" s="204"/>
      <c r="C2021" s="1"/>
      <c r="D2021" s="1"/>
      <c r="E2021" s="1"/>
      <c r="F2021" s="279"/>
      <c r="G2021" s="1"/>
      <c r="J2021" s="34"/>
    </row>
    <row r="2022" spans="1:10">
      <c r="A2022" s="1"/>
      <c r="B2022" s="204"/>
      <c r="C2022" s="1"/>
      <c r="D2022" s="1"/>
      <c r="E2022" s="1"/>
      <c r="F2022" s="279"/>
      <c r="G2022" s="1"/>
      <c r="J2022" s="34"/>
    </row>
    <row r="2023" spans="1:10">
      <c r="A2023" s="1"/>
      <c r="B2023" s="204"/>
      <c r="C2023" s="1"/>
      <c r="D2023" s="1"/>
      <c r="E2023" s="1"/>
      <c r="F2023" s="279"/>
      <c r="G2023" s="1"/>
      <c r="J2023" s="34"/>
    </row>
    <row r="2024" spans="1:10">
      <c r="A2024" s="1"/>
      <c r="B2024" s="204"/>
      <c r="C2024" s="1"/>
      <c r="D2024" s="1"/>
      <c r="E2024" s="1"/>
      <c r="F2024" s="279"/>
      <c r="G2024" s="1"/>
      <c r="J2024" s="34"/>
    </row>
    <row r="2025" spans="1:10">
      <c r="A2025" s="1"/>
      <c r="B2025" s="204"/>
      <c r="C2025" s="1"/>
      <c r="D2025" s="1"/>
      <c r="E2025" s="1"/>
      <c r="F2025" s="279"/>
      <c r="G2025" s="1"/>
      <c r="J2025" s="34"/>
    </row>
    <row r="2026" spans="1:10">
      <c r="A2026" s="1"/>
      <c r="B2026" s="204"/>
      <c r="C2026" s="1"/>
      <c r="D2026" s="1"/>
      <c r="E2026" s="1"/>
      <c r="F2026" s="279"/>
      <c r="G2026" s="1"/>
      <c r="J2026" s="34"/>
    </row>
    <row r="2027" spans="1:10">
      <c r="A2027" s="1"/>
      <c r="B2027" s="204"/>
      <c r="C2027" s="1"/>
      <c r="D2027" s="1"/>
      <c r="E2027" s="1"/>
      <c r="F2027" s="279"/>
      <c r="G2027" s="1"/>
      <c r="J2027" s="34"/>
    </row>
    <row r="2028" spans="1:10">
      <c r="A2028" s="1"/>
      <c r="B2028" s="204"/>
      <c r="C2028" s="1"/>
      <c r="D2028" s="1"/>
      <c r="E2028" s="1"/>
      <c r="F2028" s="279"/>
      <c r="G2028" s="1"/>
      <c r="J2028" s="34"/>
    </row>
    <row r="2029" spans="1:10">
      <c r="A2029" s="1"/>
      <c r="B2029" s="204"/>
      <c r="C2029" s="1"/>
      <c r="D2029" s="1"/>
      <c r="E2029" s="1"/>
      <c r="F2029" s="279"/>
      <c r="G2029" s="1"/>
      <c r="J2029" s="34"/>
    </row>
    <row r="2030" spans="1:10">
      <c r="A2030" s="1"/>
      <c r="B2030" s="204"/>
      <c r="C2030" s="1"/>
      <c r="D2030" s="1"/>
      <c r="E2030" s="1"/>
      <c r="F2030" s="279"/>
      <c r="G2030" s="1"/>
      <c r="J2030" s="34"/>
    </row>
    <row r="2031" spans="1:10">
      <c r="A2031" s="1"/>
      <c r="B2031" s="204"/>
      <c r="C2031" s="1"/>
      <c r="D2031" s="1"/>
      <c r="E2031" s="1"/>
      <c r="F2031" s="279"/>
      <c r="G2031" s="1"/>
      <c r="J2031" s="34"/>
    </row>
    <row r="2032" spans="1:10">
      <c r="A2032" s="1"/>
      <c r="B2032" s="204"/>
      <c r="C2032" s="1"/>
      <c r="D2032" s="1"/>
      <c r="E2032" s="1"/>
      <c r="F2032" s="279"/>
      <c r="G2032" s="1"/>
      <c r="J2032" s="34"/>
    </row>
    <row r="2033" spans="1:10">
      <c r="A2033" s="1"/>
      <c r="B2033" s="204"/>
      <c r="C2033" s="1"/>
      <c r="D2033" s="1"/>
      <c r="E2033" s="1"/>
      <c r="F2033" s="279"/>
      <c r="G2033" s="1"/>
      <c r="J2033" s="34"/>
    </row>
    <row r="2034" spans="1:10">
      <c r="A2034" s="1"/>
      <c r="B2034" s="204"/>
      <c r="C2034" s="1"/>
      <c r="D2034" s="1"/>
      <c r="E2034" s="1"/>
      <c r="F2034" s="279"/>
      <c r="G2034" s="1"/>
      <c r="J2034" s="34"/>
    </row>
    <row r="2035" spans="1:10">
      <c r="A2035" s="1"/>
      <c r="B2035" s="204"/>
      <c r="C2035" s="1"/>
      <c r="D2035" s="1"/>
      <c r="E2035" s="1"/>
      <c r="F2035" s="279"/>
      <c r="G2035" s="1"/>
      <c r="J2035" s="34"/>
    </row>
    <row r="2036" spans="1:10">
      <c r="A2036" s="1"/>
      <c r="B2036" s="204"/>
      <c r="C2036" s="1"/>
      <c r="D2036" s="1"/>
      <c r="E2036" s="1"/>
      <c r="F2036" s="279"/>
      <c r="G2036" s="1"/>
      <c r="J2036" s="34"/>
    </row>
    <row r="2037" spans="1:10">
      <c r="A2037" s="1"/>
      <c r="B2037" s="204"/>
      <c r="C2037" s="1"/>
      <c r="D2037" s="1"/>
      <c r="E2037" s="1"/>
      <c r="F2037" s="279"/>
      <c r="G2037" s="1"/>
      <c r="J2037" s="34"/>
    </row>
    <row r="2038" spans="1:10">
      <c r="A2038" s="1"/>
      <c r="B2038" s="204"/>
      <c r="C2038" s="1"/>
      <c r="D2038" s="1"/>
      <c r="E2038" s="1"/>
      <c r="F2038" s="279"/>
      <c r="G2038" s="1"/>
      <c r="J2038" s="34"/>
    </row>
    <row r="2039" spans="1:10">
      <c r="A2039" s="1"/>
      <c r="B2039" s="204"/>
      <c r="C2039" s="1"/>
      <c r="D2039" s="1"/>
      <c r="E2039" s="1"/>
      <c r="F2039" s="279"/>
      <c r="G2039" s="1"/>
      <c r="J2039" s="34"/>
    </row>
    <row r="2040" spans="1:10">
      <c r="A2040" s="1"/>
      <c r="B2040" s="204"/>
      <c r="C2040" s="1"/>
      <c r="D2040" s="1"/>
      <c r="E2040" s="1"/>
      <c r="F2040" s="279"/>
      <c r="G2040" s="1"/>
      <c r="J2040" s="34"/>
    </row>
    <row r="2041" spans="1:10">
      <c r="A2041" s="1"/>
      <c r="B2041" s="204"/>
      <c r="C2041" s="1"/>
      <c r="D2041" s="1"/>
      <c r="E2041" s="1"/>
      <c r="F2041" s="279"/>
      <c r="G2041" s="1"/>
      <c r="J2041" s="34"/>
    </row>
    <row r="2042" spans="1:10">
      <c r="A2042" s="1"/>
      <c r="B2042" s="204"/>
      <c r="C2042" s="1"/>
      <c r="D2042" s="1"/>
      <c r="E2042" s="1"/>
      <c r="F2042" s="279"/>
      <c r="G2042" s="1"/>
      <c r="J2042" s="34"/>
    </row>
    <row r="2043" spans="1:10">
      <c r="A2043" s="1"/>
      <c r="B2043" s="204"/>
      <c r="C2043" s="1"/>
      <c r="D2043" s="1"/>
      <c r="E2043" s="1"/>
      <c r="F2043" s="279"/>
      <c r="G2043" s="1"/>
      <c r="J2043" s="34"/>
    </row>
    <row r="2044" spans="1:10">
      <c r="A2044" s="1"/>
      <c r="B2044" s="204"/>
      <c r="C2044" s="1"/>
      <c r="D2044" s="1"/>
      <c r="E2044" s="1"/>
      <c r="F2044" s="279"/>
      <c r="G2044" s="1"/>
      <c r="J2044" s="34"/>
    </row>
    <row r="2045" spans="1:10">
      <c r="A2045" s="1"/>
      <c r="B2045" s="204"/>
      <c r="C2045" s="1"/>
      <c r="D2045" s="1"/>
      <c r="E2045" s="1"/>
      <c r="F2045" s="279"/>
      <c r="G2045" s="1"/>
      <c r="J2045" s="34"/>
    </row>
    <row r="2046" spans="1:10">
      <c r="A2046" s="1"/>
      <c r="B2046" s="204"/>
      <c r="C2046" s="1"/>
      <c r="D2046" s="1"/>
      <c r="E2046" s="1"/>
      <c r="F2046" s="279"/>
      <c r="G2046" s="1"/>
      <c r="J2046" s="34"/>
    </row>
    <row r="2047" spans="1:10">
      <c r="A2047" s="1"/>
      <c r="B2047" s="204"/>
      <c r="C2047" s="1"/>
      <c r="D2047" s="1"/>
      <c r="E2047" s="1"/>
      <c r="F2047" s="279"/>
      <c r="G2047" s="1"/>
      <c r="J2047" s="34"/>
    </row>
    <row r="2048" spans="1:10">
      <c r="A2048" s="1"/>
      <c r="B2048" s="204"/>
      <c r="C2048" s="1"/>
      <c r="D2048" s="1"/>
      <c r="E2048" s="1"/>
      <c r="F2048" s="279"/>
      <c r="G2048" s="1"/>
      <c r="J2048" s="34"/>
    </row>
    <row r="2049" spans="1:10">
      <c r="A2049" s="1"/>
      <c r="B2049" s="204"/>
      <c r="C2049" s="1"/>
      <c r="D2049" s="1"/>
      <c r="E2049" s="1"/>
      <c r="F2049" s="279"/>
      <c r="G2049" s="1"/>
      <c r="J2049" s="34"/>
    </row>
    <row r="2050" spans="1:10">
      <c r="A2050" s="1"/>
      <c r="B2050" s="204"/>
      <c r="C2050" s="1"/>
      <c r="D2050" s="1"/>
      <c r="E2050" s="1"/>
      <c r="F2050" s="279"/>
      <c r="G2050" s="1"/>
      <c r="J2050" s="34"/>
    </row>
    <row r="2051" spans="1:10">
      <c r="A2051" s="1"/>
      <c r="B2051" s="204"/>
      <c r="C2051" s="1"/>
      <c r="D2051" s="1"/>
      <c r="E2051" s="1"/>
      <c r="F2051" s="279"/>
      <c r="G2051" s="1"/>
      <c r="J2051" s="34"/>
    </row>
    <row r="2052" spans="1:10">
      <c r="A2052" s="1"/>
      <c r="B2052" s="204"/>
      <c r="C2052" s="1"/>
      <c r="D2052" s="1"/>
      <c r="E2052" s="1"/>
      <c r="F2052" s="279"/>
      <c r="G2052" s="1"/>
      <c r="J2052" s="34"/>
    </row>
    <row r="2053" spans="1:10">
      <c r="A2053" s="1"/>
      <c r="B2053" s="204"/>
      <c r="C2053" s="1"/>
      <c r="D2053" s="1"/>
      <c r="E2053" s="1"/>
      <c r="F2053" s="279"/>
      <c r="G2053" s="1"/>
      <c r="J2053" s="34"/>
    </row>
    <row r="2054" spans="1:10">
      <c r="A2054" s="1"/>
      <c r="B2054" s="204"/>
      <c r="C2054" s="1"/>
      <c r="D2054" s="1"/>
      <c r="E2054" s="1"/>
      <c r="F2054" s="279"/>
      <c r="G2054" s="1"/>
      <c r="J2054" s="34"/>
    </row>
    <row r="2055" spans="1:10">
      <c r="A2055" s="1"/>
      <c r="B2055" s="204"/>
      <c r="C2055" s="1"/>
      <c r="D2055" s="1"/>
      <c r="E2055" s="1"/>
      <c r="F2055" s="279"/>
      <c r="G2055" s="1"/>
      <c r="J2055" s="34"/>
    </row>
    <row r="2056" spans="1:10">
      <c r="A2056" s="1"/>
      <c r="B2056" s="204"/>
      <c r="C2056" s="1"/>
      <c r="D2056" s="1"/>
      <c r="E2056" s="1"/>
      <c r="F2056" s="279"/>
      <c r="G2056" s="1"/>
      <c r="J2056" s="34"/>
    </row>
    <row r="2057" spans="1:10">
      <c r="A2057" s="1"/>
      <c r="B2057" s="204"/>
      <c r="C2057" s="1"/>
      <c r="D2057" s="1"/>
      <c r="E2057" s="1"/>
      <c r="F2057" s="279"/>
      <c r="G2057" s="1"/>
      <c r="J2057" s="34"/>
    </row>
    <row r="2058" spans="1:10">
      <c r="A2058" s="1"/>
      <c r="B2058" s="204"/>
      <c r="C2058" s="1"/>
      <c r="D2058" s="1"/>
      <c r="E2058" s="1"/>
      <c r="F2058" s="279"/>
      <c r="G2058" s="1"/>
      <c r="J2058" s="34"/>
    </row>
    <row r="2059" spans="1:10">
      <c r="A2059" s="1"/>
      <c r="B2059" s="204"/>
      <c r="C2059" s="1"/>
      <c r="D2059" s="1"/>
      <c r="E2059" s="1"/>
      <c r="F2059" s="279"/>
      <c r="G2059" s="1"/>
      <c r="J2059" s="34"/>
    </row>
    <row r="2060" spans="1:10">
      <c r="A2060" s="1"/>
      <c r="B2060" s="204"/>
      <c r="C2060" s="1"/>
      <c r="D2060" s="1"/>
      <c r="E2060" s="1"/>
      <c r="F2060" s="279"/>
      <c r="G2060" s="1"/>
      <c r="J2060" s="34"/>
    </row>
    <row r="2061" spans="1:10">
      <c r="A2061" s="1"/>
      <c r="B2061" s="204"/>
      <c r="C2061" s="1"/>
      <c r="D2061" s="1"/>
      <c r="E2061" s="1"/>
      <c r="F2061" s="279"/>
      <c r="G2061" s="1"/>
      <c r="J2061" s="34"/>
    </row>
    <row r="2062" spans="1:10">
      <c r="A2062" s="1"/>
      <c r="B2062" s="204"/>
      <c r="C2062" s="1"/>
      <c r="D2062" s="1"/>
      <c r="E2062" s="1"/>
      <c r="F2062" s="279"/>
      <c r="G2062" s="1"/>
      <c r="J2062" s="34"/>
    </row>
    <row r="2063" spans="1:10">
      <c r="A2063" s="1"/>
      <c r="B2063" s="204"/>
      <c r="C2063" s="1"/>
      <c r="D2063" s="1"/>
      <c r="E2063" s="1"/>
      <c r="F2063" s="279"/>
      <c r="G2063" s="1"/>
      <c r="J2063" s="34"/>
    </row>
    <row r="2064" spans="1:10">
      <c r="A2064" s="1"/>
      <c r="B2064" s="204"/>
      <c r="C2064" s="1"/>
      <c r="D2064" s="1"/>
      <c r="E2064" s="1"/>
      <c r="F2064" s="279"/>
      <c r="G2064" s="1"/>
      <c r="J2064" s="34"/>
    </row>
    <row r="2065" spans="1:10">
      <c r="A2065" s="1"/>
      <c r="B2065" s="204"/>
      <c r="C2065" s="1"/>
      <c r="D2065" s="1"/>
      <c r="E2065" s="1"/>
      <c r="F2065" s="279"/>
      <c r="G2065" s="1"/>
      <c r="J2065" s="34"/>
    </row>
    <row r="2066" spans="1:10">
      <c r="A2066" s="1"/>
      <c r="B2066" s="204"/>
      <c r="C2066" s="1"/>
      <c r="D2066" s="1"/>
      <c r="E2066" s="1"/>
      <c r="F2066" s="279"/>
      <c r="G2066" s="1"/>
      <c r="J2066" s="34"/>
    </row>
    <row r="2067" spans="1:10">
      <c r="A2067" s="1"/>
      <c r="B2067" s="204"/>
      <c r="C2067" s="1"/>
      <c r="D2067" s="1"/>
      <c r="E2067" s="1"/>
      <c r="F2067" s="279"/>
      <c r="G2067" s="1"/>
      <c r="J2067" s="34"/>
    </row>
    <row r="2068" spans="1:10">
      <c r="A2068" s="1"/>
      <c r="B2068" s="204"/>
      <c r="C2068" s="1"/>
      <c r="D2068" s="1"/>
      <c r="E2068" s="1"/>
      <c r="F2068" s="279"/>
      <c r="G2068" s="1"/>
      <c r="J2068" s="34"/>
    </row>
    <row r="2069" spans="1:10">
      <c r="A2069" s="1"/>
      <c r="B2069" s="204"/>
      <c r="C2069" s="1"/>
      <c r="D2069" s="1"/>
      <c r="E2069" s="1"/>
      <c r="F2069" s="279"/>
      <c r="G2069" s="1"/>
      <c r="J2069" s="34"/>
    </row>
    <row r="2070" spans="1:10">
      <c r="A2070" s="1"/>
      <c r="B2070" s="204"/>
      <c r="C2070" s="1"/>
      <c r="D2070" s="1"/>
      <c r="E2070" s="1"/>
      <c r="F2070" s="279"/>
      <c r="G2070" s="1"/>
      <c r="J2070" s="34"/>
    </row>
    <row r="2071" spans="1:10">
      <c r="A2071" s="1"/>
      <c r="B2071" s="204"/>
      <c r="C2071" s="1"/>
      <c r="D2071" s="1"/>
      <c r="E2071" s="1"/>
      <c r="F2071" s="279"/>
      <c r="G2071" s="1"/>
      <c r="J2071" s="34"/>
    </row>
    <row r="2072" spans="1:10">
      <c r="A2072" s="1"/>
      <c r="B2072" s="204"/>
      <c r="C2072" s="1"/>
      <c r="D2072" s="1"/>
      <c r="E2072" s="1"/>
      <c r="F2072" s="279"/>
      <c r="G2072" s="1"/>
      <c r="J2072" s="34"/>
    </row>
    <row r="2073" spans="1:10">
      <c r="A2073" s="1"/>
      <c r="B2073" s="204"/>
      <c r="C2073" s="1"/>
      <c r="D2073" s="1"/>
      <c r="E2073" s="1"/>
      <c r="F2073" s="279"/>
      <c r="G2073" s="1"/>
      <c r="J2073" s="34"/>
    </row>
    <row r="2074" spans="1:10">
      <c r="A2074" s="1"/>
      <c r="B2074" s="204"/>
      <c r="C2074" s="1"/>
      <c r="D2074" s="1"/>
      <c r="E2074" s="1"/>
      <c r="F2074" s="279"/>
      <c r="G2074" s="1"/>
      <c r="J2074" s="34"/>
    </row>
    <row r="2075" spans="1:10">
      <c r="A2075" s="1"/>
      <c r="B2075" s="204"/>
      <c r="C2075" s="1"/>
      <c r="D2075" s="1"/>
      <c r="E2075" s="1"/>
      <c r="F2075" s="279"/>
      <c r="G2075" s="1"/>
      <c r="J2075" s="34"/>
    </row>
    <row r="2076" spans="1:10">
      <c r="A2076" s="1"/>
      <c r="B2076" s="204"/>
      <c r="C2076" s="1"/>
      <c r="D2076" s="1"/>
      <c r="E2076" s="1"/>
      <c r="F2076" s="279"/>
      <c r="G2076" s="1"/>
      <c r="J2076" s="34"/>
    </row>
    <row r="2077" spans="1:10">
      <c r="A2077" s="1"/>
      <c r="B2077" s="204"/>
      <c r="C2077" s="1"/>
      <c r="D2077" s="1"/>
      <c r="E2077" s="1"/>
      <c r="F2077" s="279"/>
      <c r="G2077" s="1"/>
      <c r="J2077" s="34"/>
    </row>
    <row r="2078" spans="1:10">
      <c r="A2078" s="1"/>
      <c r="B2078" s="204"/>
      <c r="C2078" s="1"/>
      <c r="D2078" s="1"/>
      <c r="E2078" s="1"/>
      <c r="F2078" s="279"/>
      <c r="G2078" s="1"/>
      <c r="J2078" s="34"/>
    </row>
    <row r="2079" spans="1:10">
      <c r="A2079" s="1"/>
      <c r="B2079" s="204"/>
      <c r="C2079" s="1"/>
      <c r="D2079" s="1"/>
      <c r="E2079" s="1"/>
      <c r="F2079" s="279"/>
      <c r="G2079" s="1"/>
      <c r="J2079" s="34"/>
    </row>
    <row r="2080" spans="1:10">
      <c r="A2080" s="1"/>
      <c r="B2080" s="204"/>
      <c r="C2080" s="1"/>
      <c r="D2080" s="1"/>
      <c r="E2080" s="1"/>
      <c r="F2080" s="279"/>
      <c r="G2080" s="1"/>
      <c r="J2080" s="34"/>
    </row>
    <row r="2081" spans="1:10">
      <c r="A2081" s="1"/>
      <c r="B2081" s="204"/>
      <c r="C2081" s="1"/>
      <c r="D2081" s="1"/>
      <c r="E2081" s="1"/>
      <c r="F2081" s="279"/>
      <c r="G2081" s="1"/>
      <c r="J2081" s="34"/>
    </row>
    <row r="2082" spans="1:10">
      <c r="A2082" s="1"/>
      <c r="B2082" s="204"/>
      <c r="C2082" s="1"/>
      <c r="D2082" s="1"/>
      <c r="E2082" s="1"/>
      <c r="F2082" s="279"/>
      <c r="G2082" s="1"/>
      <c r="J2082" s="34"/>
    </row>
    <row r="2083" spans="1:10">
      <c r="A2083" s="1"/>
      <c r="B2083" s="204"/>
      <c r="C2083" s="1"/>
      <c r="D2083" s="1"/>
      <c r="E2083" s="1"/>
      <c r="F2083" s="279"/>
      <c r="G2083" s="1"/>
      <c r="J2083" s="34"/>
    </row>
    <row r="2084" spans="1:10">
      <c r="A2084" s="1"/>
      <c r="B2084" s="204"/>
      <c r="C2084" s="1"/>
      <c r="D2084" s="1"/>
      <c r="E2084" s="1"/>
      <c r="F2084" s="279"/>
      <c r="G2084" s="1"/>
      <c r="J2084" s="34"/>
    </row>
    <row r="2085" spans="1:10">
      <c r="A2085" s="1"/>
      <c r="B2085" s="204"/>
      <c r="C2085" s="1"/>
      <c r="D2085" s="1"/>
      <c r="E2085" s="1"/>
      <c r="F2085" s="279"/>
      <c r="G2085" s="1"/>
      <c r="J2085" s="34"/>
    </row>
    <row r="2086" spans="1:10">
      <c r="A2086" s="1"/>
      <c r="B2086" s="204"/>
      <c r="C2086" s="1"/>
      <c r="D2086" s="1"/>
      <c r="E2086" s="1"/>
      <c r="F2086" s="279"/>
      <c r="G2086" s="1"/>
      <c r="J2086" s="34"/>
    </row>
    <row r="2087" spans="1:10">
      <c r="A2087" s="1"/>
      <c r="B2087" s="204"/>
      <c r="C2087" s="1"/>
      <c r="D2087" s="1"/>
      <c r="E2087" s="1"/>
      <c r="F2087" s="279"/>
      <c r="G2087" s="1"/>
      <c r="J2087" s="34"/>
    </row>
    <row r="2088" spans="1:10">
      <c r="A2088" s="1"/>
      <c r="B2088" s="204"/>
      <c r="C2088" s="1"/>
      <c r="D2088" s="1"/>
      <c r="E2088" s="1"/>
      <c r="F2088" s="279"/>
      <c r="G2088" s="1"/>
      <c r="J2088" s="34"/>
    </row>
    <row r="2089" spans="1:10">
      <c r="A2089" s="1"/>
      <c r="B2089" s="204"/>
      <c r="C2089" s="1"/>
      <c r="D2089" s="1"/>
      <c r="E2089" s="1"/>
      <c r="F2089" s="279"/>
      <c r="G2089" s="1"/>
      <c r="J2089" s="34"/>
    </row>
    <row r="2090" spans="1:10">
      <c r="A2090" s="1"/>
      <c r="B2090" s="204"/>
      <c r="C2090" s="1"/>
      <c r="D2090" s="1"/>
      <c r="E2090" s="1"/>
      <c r="F2090" s="279"/>
      <c r="G2090" s="1"/>
      <c r="J2090" s="34"/>
    </row>
    <row r="2091" spans="1:10">
      <c r="A2091" s="1"/>
      <c r="B2091" s="204"/>
      <c r="C2091" s="1"/>
      <c r="D2091" s="1"/>
      <c r="E2091" s="1"/>
      <c r="F2091" s="279"/>
      <c r="G2091" s="1"/>
      <c r="J2091" s="34"/>
    </row>
    <row r="2092" spans="1:10">
      <c r="A2092" s="1"/>
      <c r="B2092" s="204"/>
      <c r="C2092" s="1"/>
      <c r="D2092" s="1"/>
      <c r="E2092" s="1"/>
      <c r="F2092" s="279"/>
      <c r="G2092" s="1"/>
      <c r="J2092" s="34"/>
    </row>
    <row r="2093" spans="1:10">
      <c r="A2093" s="1"/>
      <c r="B2093" s="204"/>
      <c r="C2093" s="1"/>
      <c r="D2093" s="1"/>
      <c r="E2093" s="1"/>
      <c r="F2093" s="279"/>
      <c r="G2093" s="1"/>
      <c r="J2093" s="34"/>
    </row>
    <row r="2094" spans="1:10">
      <c r="A2094" s="1"/>
      <c r="B2094" s="204"/>
      <c r="C2094" s="1"/>
      <c r="D2094" s="1"/>
      <c r="E2094" s="1"/>
      <c r="F2094" s="279"/>
      <c r="G2094" s="1"/>
      <c r="J2094" s="34"/>
    </row>
    <row r="2095" spans="1:10">
      <c r="A2095" s="1"/>
      <c r="B2095" s="204"/>
      <c r="C2095" s="1"/>
      <c r="D2095" s="1"/>
      <c r="E2095" s="1"/>
      <c r="F2095" s="279"/>
      <c r="G2095" s="1"/>
      <c r="J2095" s="34"/>
    </row>
    <row r="2096" spans="1:10">
      <c r="A2096" s="1"/>
      <c r="B2096" s="204"/>
      <c r="C2096" s="1"/>
      <c r="D2096" s="1"/>
      <c r="E2096" s="1"/>
      <c r="F2096" s="279"/>
      <c r="G2096" s="1"/>
      <c r="J2096" s="34"/>
    </row>
    <row r="2097" spans="1:10">
      <c r="A2097" s="1"/>
      <c r="B2097" s="204"/>
      <c r="C2097" s="1"/>
      <c r="D2097" s="1"/>
      <c r="E2097" s="1"/>
      <c r="F2097" s="279"/>
      <c r="G2097" s="1"/>
      <c r="J2097" s="34"/>
    </row>
    <row r="2098" spans="1:10">
      <c r="A2098" s="1"/>
      <c r="B2098" s="204"/>
      <c r="C2098" s="1"/>
      <c r="D2098" s="1"/>
      <c r="E2098" s="1"/>
      <c r="F2098" s="279"/>
      <c r="G2098" s="1"/>
      <c r="J2098" s="34"/>
    </row>
    <row r="2099" spans="1:10">
      <c r="A2099" s="1"/>
      <c r="B2099" s="204"/>
      <c r="C2099" s="1"/>
      <c r="D2099" s="1"/>
      <c r="E2099" s="1"/>
      <c r="F2099" s="279"/>
      <c r="G2099" s="1"/>
      <c r="J2099" s="34"/>
    </row>
    <row r="2100" spans="1:10">
      <c r="A2100" s="1"/>
      <c r="B2100" s="204"/>
      <c r="C2100" s="1"/>
      <c r="D2100" s="1"/>
      <c r="E2100" s="1"/>
      <c r="F2100" s="279"/>
      <c r="G2100" s="1"/>
      <c r="J2100" s="34"/>
    </row>
    <row r="2101" spans="1:10">
      <c r="A2101" s="1"/>
      <c r="B2101" s="204"/>
      <c r="C2101" s="1"/>
      <c r="D2101" s="1"/>
      <c r="E2101" s="1"/>
      <c r="F2101" s="279"/>
      <c r="G2101" s="1"/>
      <c r="J2101" s="34"/>
    </row>
    <row r="2102" spans="1:10">
      <c r="A2102" s="1"/>
      <c r="B2102" s="204"/>
      <c r="C2102" s="1"/>
      <c r="D2102" s="1"/>
      <c r="E2102" s="1"/>
      <c r="F2102" s="279"/>
      <c r="G2102" s="1"/>
      <c r="J2102" s="34"/>
    </row>
    <row r="2103" spans="1:10">
      <c r="A2103" s="1"/>
      <c r="B2103" s="204"/>
      <c r="C2103" s="1"/>
      <c r="D2103" s="1"/>
      <c r="E2103" s="1"/>
      <c r="F2103" s="279"/>
      <c r="G2103" s="1"/>
      <c r="J2103" s="34"/>
    </row>
    <row r="2104" spans="1:10">
      <c r="A2104" s="1"/>
      <c r="B2104" s="204"/>
      <c r="C2104" s="1"/>
      <c r="D2104" s="1"/>
      <c r="E2104" s="1"/>
      <c r="F2104" s="279"/>
      <c r="G2104" s="1"/>
      <c r="J2104" s="34"/>
    </row>
    <row r="2105" spans="1:10">
      <c r="A2105" s="1"/>
      <c r="B2105" s="204"/>
      <c r="C2105" s="1"/>
      <c r="D2105" s="1"/>
      <c r="E2105" s="1"/>
      <c r="F2105" s="279"/>
      <c r="G2105" s="1"/>
      <c r="J2105" s="34"/>
    </row>
    <row r="2106" spans="1:10">
      <c r="A2106" s="1"/>
      <c r="B2106" s="204"/>
      <c r="C2106" s="1"/>
      <c r="D2106" s="1"/>
      <c r="E2106" s="1"/>
      <c r="F2106" s="279"/>
      <c r="G2106" s="1"/>
      <c r="J2106" s="34"/>
    </row>
    <row r="2107" spans="1:10">
      <c r="A2107" s="1"/>
      <c r="B2107" s="204"/>
      <c r="C2107" s="1"/>
      <c r="D2107" s="1"/>
      <c r="E2107" s="1"/>
      <c r="F2107" s="279"/>
      <c r="G2107" s="1"/>
      <c r="J2107" s="34"/>
    </row>
    <row r="2108" spans="1:10">
      <c r="A2108" s="1"/>
      <c r="B2108" s="204"/>
      <c r="C2108" s="1"/>
      <c r="D2108" s="1"/>
      <c r="E2108" s="1"/>
      <c r="F2108" s="279"/>
      <c r="G2108" s="1"/>
      <c r="J2108" s="34"/>
    </row>
    <row r="2109" spans="1:10">
      <c r="A2109" s="1"/>
      <c r="B2109" s="204"/>
      <c r="C2109" s="1"/>
      <c r="D2109" s="1"/>
      <c r="E2109" s="1"/>
      <c r="F2109" s="279"/>
      <c r="G2109" s="1"/>
      <c r="J2109" s="34"/>
    </row>
    <row r="2110" spans="1:10">
      <c r="A2110" s="1"/>
      <c r="B2110" s="204"/>
      <c r="C2110" s="1"/>
      <c r="D2110" s="1"/>
      <c r="E2110" s="1"/>
      <c r="F2110" s="279"/>
      <c r="G2110" s="1"/>
      <c r="J2110" s="34"/>
    </row>
    <row r="2111" spans="1:10">
      <c r="A2111" s="1"/>
      <c r="B2111" s="204"/>
      <c r="C2111" s="1"/>
      <c r="D2111" s="1"/>
      <c r="E2111" s="1"/>
      <c r="F2111" s="279"/>
      <c r="G2111" s="1"/>
      <c r="J2111" s="34"/>
    </row>
    <row r="2112" spans="1:10">
      <c r="A2112" s="1"/>
      <c r="B2112" s="204"/>
      <c r="C2112" s="1"/>
      <c r="D2112" s="1"/>
      <c r="E2112" s="1"/>
      <c r="F2112" s="279"/>
      <c r="G2112" s="1"/>
      <c r="J2112" s="34"/>
    </row>
    <row r="2113" spans="1:10">
      <c r="A2113" s="1"/>
      <c r="B2113" s="204"/>
      <c r="C2113" s="1"/>
      <c r="D2113" s="1"/>
      <c r="E2113" s="1"/>
      <c r="F2113" s="279"/>
      <c r="G2113" s="1"/>
      <c r="J2113" s="34"/>
    </row>
    <row r="2114" spans="1:10">
      <c r="A2114" s="1"/>
      <c r="B2114" s="204"/>
      <c r="C2114" s="1"/>
      <c r="D2114" s="1"/>
      <c r="E2114" s="1"/>
      <c r="F2114" s="279"/>
      <c r="G2114" s="1"/>
      <c r="J2114" s="34"/>
    </row>
    <row r="2115" spans="1:10">
      <c r="A2115" s="1"/>
      <c r="B2115" s="204"/>
      <c r="C2115" s="1"/>
      <c r="D2115" s="1"/>
      <c r="E2115" s="1"/>
      <c r="F2115" s="279"/>
      <c r="G2115" s="1"/>
      <c r="J2115" s="34"/>
    </row>
    <row r="2116" spans="1:10">
      <c r="A2116" s="1"/>
      <c r="B2116" s="204"/>
      <c r="C2116" s="1"/>
      <c r="D2116" s="1"/>
      <c r="E2116" s="1"/>
      <c r="F2116" s="279"/>
      <c r="G2116" s="1"/>
      <c r="J2116" s="34"/>
    </row>
    <row r="2117" spans="1:10">
      <c r="A2117" s="1"/>
      <c r="B2117" s="204"/>
      <c r="C2117" s="1"/>
      <c r="D2117" s="1"/>
      <c r="E2117" s="1"/>
      <c r="F2117" s="279"/>
      <c r="G2117" s="1"/>
      <c r="J2117" s="34"/>
    </row>
    <row r="2118" spans="1:10">
      <c r="A2118" s="1"/>
      <c r="B2118" s="204"/>
      <c r="C2118" s="1"/>
      <c r="D2118" s="1"/>
      <c r="E2118" s="1"/>
      <c r="F2118" s="279"/>
      <c r="G2118" s="1"/>
      <c r="J2118" s="34"/>
    </row>
    <row r="2119" spans="1:10">
      <c r="A2119" s="1"/>
      <c r="B2119" s="204"/>
      <c r="C2119" s="1"/>
      <c r="D2119" s="1"/>
      <c r="E2119" s="1"/>
      <c r="F2119" s="279"/>
      <c r="G2119" s="1"/>
      <c r="J2119" s="34"/>
    </row>
    <row r="2120" spans="1:10">
      <c r="A2120" s="1"/>
      <c r="B2120" s="204"/>
      <c r="C2120" s="1"/>
      <c r="D2120" s="1"/>
      <c r="E2120" s="1"/>
      <c r="F2120" s="279"/>
      <c r="G2120" s="1"/>
      <c r="J2120" s="34"/>
    </row>
    <row r="2121" spans="1:10">
      <c r="A2121" s="1"/>
      <c r="B2121" s="204"/>
      <c r="C2121" s="1"/>
      <c r="D2121" s="1"/>
      <c r="E2121" s="1"/>
      <c r="F2121" s="279"/>
      <c r="G2121" s="1"/>
      <c r="J2121" s="34"/>
    </row>
    <row r="2122" spans="1:10">
      <c r="A2122" s="1"/>
      <c r="B2122" s="204"/>
      <c r="C2122" s="1"/>
      <c r="D2122" s="1"/>
      <c r="E2122" s="1"/>
      <c r="F2122" s="279"/>
      <c r="G2122" s="1"/>
      <c r="J2122" s="34"/>
    </row>
    <row r="2123" spans="1:10">
      <c r="A2123" s="1"/>
      <c r="B2123" s="204"/>
      <c r="C2123" s="1"/>
      <c r="D2123" s="1"/>
      <c r="E2123" s="1"/>
      <c r="F2123" s="279"/>
      <c r="G2123" s="1"/>
      <c r="J2123" s="34"/>
    </row>
    <row r="2124" spans="1:10">
      <c r="A2124" s="1"/>
      <c r="B2124" s="204"/>
      <c r="C2124" s="1"/>
      <c r="D2124" s="1"/>
      <c r="E2124" s="1"/>
      <c r="F2124" s="279"/>
      <c r="G2124" s="1"/>
      <c r="J2124" s="34"/>
    </row>
    <row r="2125" spans="1:10">
      <c r="A2125" s="1"/>
      <c r="B2125" s="204"/>
      <c r="C2125" s="1"/>
      <c r="D2125" s="1"/>
      <c r="E2125" s="1"/>
      <c r="F2125" s="279"/>
      <c r="G2125" s="1"/>
      <c r="J2125" s="34"/>
    </row>
    <row r="2126" spans="1:10">
      <c r="A2126" s="1"/>
      <c r="B2126" s="204"/>
      <c r="C2126" s="1"/>
      <c r="D2126" s="1"/>
      <c r="E2126" s="1"/>
      <c r="F2126" s="279"/>
      <c r="G2126" s="1"/>
      <c r="J2126" s="34"/>
    </row>
    <row r="2127" spans="1:10">
      <c r="A2127" s="1"/>
      <c r="B2127" s="204"/>
      <c r="C2127" s="1"/>
      <c r="D2127" s="1"/>
      <c r="E2127" s="1"/>
      <c r="F2127" s="279"/>
      <c r="G2127" s="1"/>
      <c r="J2127" s="34"/>
    </row>
    <row r="2128" spans="1:10">
      <c r="A2128" s="1"/>
      <c r="B2128" s="204"/>
      <c r="C2128" s="1"/>
      <c r="D2128" s="1"/>
      <c r="E2128" s="1"/>
      <c r="F2128" s="279"/>
      <c r="G2128" s="1"/>
      <c r="J2128" s="34"/>
    </row>
    <row r="2129" spans="1:10">
      <c r="A2129" s="1"/>
      <c r="B2129" s="204"/>
      <c r="C2129" s="1"/>
      <c r="D2129" s="1"/>
      <c r="E2129" s="1"/>
      <c r="F2129" s="279"/>
      <c r="G2129" s="1"/>
      <c r="J2129" s="34"/>
    </row>
    <row r="2130" spans="1:10">
      <c r="A2130" s="1"/>
      <c r="B2130" s="204"/>
      <c r="C2130" s="1"/>
      <c r="D2130" s="1"/>
      <c r="E2130" s="1"/>
      <c r="F2130" s="279"/>
      <c r="G2130" s="1"/>
      <c r="J2130" s="34"/>
    </row>
    <row r="2131" spans="1:10">
      <c r="A2131" s="1"/>
      <c r="B2131" s="204"/>
      <c r="C2131" s="1"/>
      <c r="D2131" s="1"/>
      <c r="E2131" s="1"/>
      <c r="F2131" s="279"/>
      <c r="G2131" s="1"/>
      <c r="J2131" s="34"/>
    </row>
    <row r="2132" spans="1:10">
      <c r="A2132" s="1"/>
      <c r="B2132" s="204"/>
      <c r="C2132" s="1"/>
      <c r="D2132" s="1"/>
      <c r="E2132" s="1"/>
      <c r="F2132" s="279"/>
      <c r="G2132" s="1"/>
      <c r="J2132" s="34"/>
    </row>
    <row r="2133" spans="1:10">
      <c r="A2133" s="1"/>
      <c r="B2133" s="204"/>
      <c r="C2133" s="1"/>
      <c r="D2133" s="1"/>
      <c r="E2133" s="1"/>
      <c r="F2133" s="279"/>
      <c r="G2133" s="1"/>
      <c r="J2133" s="34"/>
    </row>
    <row r="2134" spans="1:10">
      <c r="A2134" s="1"/>
      <c r="B2134" s="204"/>
      <c r="C2134" s="1"/>
      <c r="D2134" s="1"/>
      <c r="E2134" s="1"/>
      <c r="F2134" s="279"/>
      <c r="G2134" s="1"/>
      <c r="J2134" s="34"/>
    </row>
    <row r="2135" spans="1:10">
      <c r="A2135" s="1"/>
      <c r="B2135" s="204"/>
      <c r="C2135" s="1"/>
      <c r="D2135" s="1"/>
      <c r="E2135" s="1"/>
      <c r="F2135" s="279"/>
      <c r="G2135" s="1"/>
      <c r="J2135" s="34"/>
    </row>
    <row r="2136" spans="1:10">
      <c r="A2136" s="1"/>
      <c r="B2136" s="204"/>
      <c r="C2136" s="1"/>
      <c r="D2136" s="1"/>
      <c r="E2136" s="1"/>
      <c r="F2136" s="279"/>
      <c r="G2136" s="1"/>
      <c r="J2136" s="34"/>
    </row>
    <row r="2137" spans="1:10">
      <c r="A2137" s="1"/>
      <c r="B2137" s="204"/>
      <c r="C2137" s="1"/>
      <c r="D2137" s="1"/>
      <c r="E2137" s="1"/>
      <c r="F2137" s="279"/>
      <c r="G2137" s="1"/>
      <c r="J2137" s="34"/>
    </row>
    <row r="2138" spans="1:10">
      <c r="A2138" s="1"/>
      <c r="B2138" s="204"/>
      <c r="C2138" s="1"/>
      <c r="D2138" s="1"/>
      <c r="E2138" s="1"/>
      <c r="F2138" s="279"/>
      <c r="G2138" s="1"/>
      <c r="J2138" s="34"/>
    </row>
    <row r="2139" spans="1:10">
      <c r="A2139" s="1"/>
      <c r="B2139" s="204"/>
      <c r="C2139" s="1"/>
      <c r="D2139" s="1"/>
      <c r="E2139" s="1"/>
      <c r="F2139" s="279"/>
      <c r="G2139" s="1"/>
      <c r="J2139" s="34"/>
    </row>
    <row r="2140" spans="1:10">
      <c r="A2140" s="1"/>
      <c r="B2140" s="204"/>
      <c r="C2140" s="1"/>
      <c r="D2140" s="1"/>
      <c r="E2140" s="1"/>
      <c r="F2140" s="279"/>
      <c r="G2140" s="1"/>
      <c r="J2140" s="34"/>
    </row>
    <row r="2141" spans="1:10">
      <c r="A2141" s="1"/>
      <c r="B2141" s="204"/>
      <c r="C2141" s="1"/>
      <c r="D2141" s="1"/>
      <c r="E2141" s="1"/>
      <c r="F2141" s="279"/>
      <c r="G2141" s="1"/>
      <c r="J2141" s="34"/>
    </row>
    <row r="2142" spans="1:10">
      <c r="A2142" s="1"/>
      <c r="B2142" s="204"/>
      <c r="C2142" s="1"/>
      <c r="D2142" s="1"/>
      <c r="E2142" s="1"/>
      <c r="F2142" s="279"/>
      <c r="G2142" s="1"/>
      <c r="J2142" s="34"/>
    </row>
    <row r="2143" spans="1:10">
      <c r="A2143" s="1"/>
      <c r="B2143" s="204"/>
      <c r="C2143" s="1"/>
      <c r="D2143" s="1"/>
      <c r="E2143" s="1"/>
      <c r="F2143" s="279"/>
      <c r="G2143" s="1"/>
      <c r="J2143" s="34"/>
    </row>
    <row r="2144" spans="1:10">
      <c r="A2144" s="1"/>
      <c r="B2144" s="204"/>
      <c r="C2144" s="1"/>
      <c r="D2144" s="1"/>
      <c r="E2144" s="1"/>
      <c r="F2144" s="279"/>
      <c r="G2144" s="1"/>
      <c r="J2144" s="34"/>
    </row>
    <row r="2145" spans="1:10">
      <c r="A2145" s="1"/>
      <c r="B2145" s="204"/>
      <c r="C2145" s="1"/>
      <c r="D2145" s="1"/>
      <c r="E2145" s="1"/>
      <c r="F2145" s="279"/>
      <c r="G2145" s="1"/>
      <c r="J2145" s="34"/>
    </row>
    <row r="2146" spans="1:10">
      <c r="A2146" s="1"/>
      <c r="B2146" s="204"/>
      <c r="C2146" s="1"/>
      <c r="D2146" s="1"/>
      <c r="E2146" s="1"/>
      <c r="F2146" s="279"/>
      <c r="G2146" s="1"/>
      <c r="J2146" s="34"/>
    </row>
    <row r="2147" spans="1:10">
      <c r="A2147" s="1"/>
      <c r="B2147" s="204"/>
      <c r="C2147" s="1"/>
      <c r="D2147" s="1"/>
      <c r="E2147" s="1"/>
      <c r="F2147" s="279"/>
      <c r="G2147" s="1"/>
      <c r="J2147" s="34"/>
    </row>
    <row r="2148" spans="1:10">
      <c r="A2148" s="1"/>
      <c r="B2148" s="204"/>
      <c r="C2148" s="1"/>
      <c r="D2148" s="1"/>
      <c r="E2148" s="1"/>
      <c r="F2148" s="279"/>
      <c r="G2148" s="1"/>
      <c r="J2148" s="34"/>
    </row>
    <row r="2149" spans="1:10">
      <c r="A2149" s="1"/>
      <c r="B2149" s="204"/>
      <c r="C2149" s="1"/>
      <c r="D2149" s="1"/>
      <c r="E2149" s="1"/>
      <c r="F2149" s="279"/>
      <c r="G2149" s="1"/>
      <c r="J2149" s="34"/>
    </row>
    <row r="2150" spans="1:10">
      <c r="A2150" s="1"/>
      <c r="B2150" s="204"/>
      <c r="C2150" s="1"/>
      <c r="D2150" s="1"/>
      <c r="E2150" s="1"/>
      <c r="F2150" s="279"/>
      <c r="G2150" s="1"/>
      <c r="J2150" s="34"/>
    </row>
    <row r="2151" spans="1:10">
      <c r="A2151" s="1"/>
      <c r="B2151" s="204"/>
      <c r="C2151" s="1"/>
      <c r="D2151" s="1"/>
      <c r="E2151" s="1"/>
      <c r="F2151" s="279"/>
      <c r="G2151" s="1"/>
      <c r="J2151" s="34"/>
    </row>
    <row r="2152" spans="1:10">
      <c r="A2152" s="1"/>
      <c r="B2152" s="204"/>
      <c r="C2152" s="1"/>
      <c r="D2152" s="1"/>
      <c r="E2152" s="1"/>
      <c r="F2152" s="279"/>
      <c r="G2152" s="1"/>
      <c r="J2152" s="34"/>
    </row>
    <row r="2153" spans="1:10">
      <c r="A2153" s="1"/>
      <c r="B2153" s="204"/>
      <c r="C2153" s="1"/>
      <c r="D2153" s="1"/>
      <c r="E2153" s="1"/>
      <c r="F2153" s="279"/>
      <c r="G2153" s="1"/>
      <c r="J2153" s="34"/>
    </row>
    <row r="2154" spans="1:10">
      <c r="A2154" s="1"/>
      <c r="B2154" s="204"/>
      <c r="C2154" s="1"/>
      <c r="D2154" s="1"/>
      <c r="E2154" s="1"/>
      <c r="F2154" s="279"/>
      <c r="G2154" s="1"/>
      <c r="J2154" s="34"/>
    </row>
    <row r="2155" spans="1:10">
      <c r="A2155" s="1"/>
      <c r="B2155" s="204"/>
      <c r="C2155" s="1"/>
      <c r="D2155" s="1"/>
      <c r="E2155" s="1"/>
      <c r="F2155" s="279"/>
      <c r="G2155" s="1"/>
      <c r="J2155" s="34"/>
    </row>
    <row r="2156" spans="1:10">
      <c r="A2156" s="1"/>
      <c r="B2156" s="204"/>
      <c r="C2156" s="1"/>
      <c r="D2156" s="1"/>
      <c r="E2156" s="1"/>
      <c r="F2156" s="279"/>
      <c r="G2156" s="1"/>
      <c r="J2156" s="34"/>
    </row>
    <row r="2157" spans="1:10">
      <c r="A2157" s="1"/>
      <c r="B2157" s="204"/>
      <c r="C2157" s="1"/>
      <c r="D2157" s="1"/>
      <c r="E2157" s="1"/>
      <c r="F2157" s="279"/>
      <c r="G2157" s="1"/>
      <c r="J2157" s="34"/>
    </row>
    <row r="2158" spans="1:10">
      <c r="A2158" s="1"/>
      <c r="B2158" s="204"/>
      <c r="C2158" s="1"/>
      <c r="D2158" s="1"/>
      <c r="E2158" s="1"/>
      <c r="F2158" s="279"/>
      <c r="G2158" s="1"/>
      <c r="J2158" s="34"/>
    </row>
    <row r="2159" spans="1:10">
      <c r="A2159" s="1"/>
      <c r="B2159" s="204"/>
      <c r="C2159" s="1"/>
      <c r="D2159" s="1"/>
      <c r="E2159" s="1"/>
      <c r="F2159" s="279"/>
      <c r="G2159" s="1"/>
      <c r="J2159" s="34"/>
    </row>
    <row r="2160" spans="1:10">
      <c r="A2160" s="1"/>
      <c r="B2160" s="204"/>
      <c r="C2160" s="1"/>
      <c r="D2160" s="1"/>
      <c r="E2160" s="1"/>
      <c r="F2160" s="279"/>
      <c r="G2160" s="1"/>
      <c r="J2160" s="34"/>
    </row>
    <row r="2161" spans="1:10">
      <c r="A2161" s="1"/>
      <c r="B2161" s="204"/>
      <c r="C2161" s="1"/>
      <c r="D2161" s="1"/>
      <c r="E2161" s="1"/>
      <c r="F2161" s="279"/>
      <c r="G2161" s="1"/>
      <c r="J2161" s="34"/>
    </row>
    <row r="2162" spans="1:10">
      <c r="A2162" s="1"/>
      <c r="B2162" s="204"/>
      <c r="C2162" s="1"/>
      <c r="D2162" s="1"/>
      <c r="E2162" s="1"/>
      <c r="F2162" s="279"/>
      <c r="G2162" s="1"/>
      <c r="J2162" s="34"/>
    </row>
    <row r="2163" spans="1:10">
      <c r="A2163" s="1"/>
      <c r="B2163" s="204"/>
      <c r="C2163" s="1"/>
      <c r="D2163" s="1"/>
      <c r="E2163" s="1"/>
      <c r="F2163" s="279"/>
      <c r="G2163" s="1"/>
      <c r="J2163" s="34"/>
    </row>
    <row r="2164" spans="1:10">
      <c r="A2164" s="1"/>
      <c r="B2164" s="204"/>
      <c r="C2164" s="1"/>
      <c r="D2164" s="1"/>
      <c r="E2164" s="1"/>
      <c r="F2164" s="279"/>
      <c r="G2164" s="1"/>
      <c r="J2164" s="34"/>
    </row>
    <row r="2165" spans="1:10">
      <c r="A2165" s="1"/>
      <c r="B2165" s="204"/>
      <c r="C2165" s="1"/>
      <c r="D2165" s="1"/>
      <c r="E2165" s="1"/>
      <c r="F2165" s="279"/>
      <c r="G2165" s="1"/>
      <c r="J2165" s="34"/>
    </row>
    <row r="2166" spans="1:10">
      <c r="A2166" s="1"/>
      <c r="B2166" s="204"/>
      <c r="C2166" s="1"/>
      <c r="D2166" s="1"/>
      <c r="E2166" s="1"/>
      <c r="F2166" s="279"/>
      <c r="G2166" s="1"/>
      <c r="J2166" s="34"/>
    </row>
    <row r="2167" spans="1:10">
      <c r="A2167" s="1"/>
      <c r="B2167" s="204"/>
      <c r="C2167" s="1"/>
      <c r="D2167" s="1"/>
      <c r="E2167" s="1"/>
      <c r="F2167" s="279"/>
      <c r="G2167" s="1"/>
      <c r="J2167" s="34"/>
    </row>
    <row r="2168" spans="1:10">
      <c r="A2168" s="1"/>
      <c r="B2168" s="204"/>
      <c r="C2168" s="1"/>
      <c r="D2168" s="1"/>
      <c r="E2168" s="1"/>
      <c r="F2168" s="279"/>
      <c r="G2168" s="1"/>
      <c r="J2168" s="34"/>
    </row>
    <row r="2169" spans="1:10">
      <c r="A2169" s="1"/>
      <c r="B2169" s="204"/>
      <c r="C2169" s="1"/>
      <c r="D2169" s="1"/>
      <c r="E2169" s="1"/>
      <c r="F2169" s="279"/>
      <c r="G2169" s="1"/>
      <c r="J2169" s="34"/>
    </row>
    <row r="2170" spans="1:10">
      <c r="A2170" s="1"/>
      <c r="B2170" s="204"/>
      <c r="C2170" s="1"/>
      <c r="D2170" s="1"/>
      <c r="E2170" s="1"/>
      <c r="F2170" s="279"/>
      <c r="G2170" s="1"/>
      <c r="J2170" s="34"/>
    </row>
    <row r="2171" spans="1:10">
      <c r="A2171" s="1"/>
      <c r="B2171" s="204"/>
      <c r="C2171" s="1"/>
      <c r="D2171" s="1"/>
      <c r="E2171" s="1"/>
      <c r="F2171" s="279"/>
      <c r="G2171" s="1"/>
      <c r="J2171" s="34"/>
    </row>
    <row r="2172" spans="1:10">
      <c r="A2172" s="1"/>
      <c r="B2172" s="204"/>
      <c r="C2172" s="1"/>
      <c r="D2172" s="1"/>
      <c r="E2172" s="1"/>
      <c r="F2172" s="279"/>
      <c r="G2172" s="1"/>
      <c r="J2172" s="34"/>
    </row>
    <row r="2173" spans="1:10">
      <c r="A2173" s="1"/>
      <c r="B2173" s="204"/>
      <c r="C2173" s="1"/>
      <c r="D2173" s="1"/>
      <c r="E2173" s="1"/>
      <c r="F2173" s="279"/>
      <c r="G2173" s="1"/>
      <c r="J2173" s="34"/>
    </row>
    <row r="2174" spans="1:10">
      <c r="A2174" s="1"/>
      <c r="B2174" s="204"/>
      <c r="C2174" s="1"/>
      <c r="D2174" s="1"/>
      <c r="E2174" s="1"/>
      <c r="F2174" s="279"/>
      <c r="G2174" s="1"/>
      <c r="J2174" s="34"/>
    </row>
    <row r="2175" spans="1:10">
      <c r="A2175" s="1"/>
      <c r="B2175" s="204"/>
      <c r="C2175" s="1"/>
      <c r="D2175" s="1"/>
      <c r="E2175" s="1"/>
      <c r="F2175" s="279"/>
      <c r="G2175" s="1"/>
      <c r="J2175" s="34"/>
    </row>
    <row r="2176" spans="1:10">
      <c r="A2176" s="1"/>
      <c r="B2176" s="204"/>
      <c r="C2176" s="1"/>
      <c r="D2176" s="1"/>
      <c r="E2176" s="1"/>
      <c r="F2176" s="279"/>
      <c r="G2176" s="1"/>
      <c r="J2176" s="34"/>
    </row>
    <row r="2177" spans="1:10">
      <c r="A2177" s="1"/>
      <c r="B2177" s="204"/>
      <c r="C2177" s="1"/>
      <c r="D2177" s="1"/>
      <c r="E2177" s="1"/>
      <c r="F2177" s="279"/>
      <c r="G2177" s="1"/>
      <c r="J2177" s="34"/>
    </row>
    <row r="2178" spans="1:10">
      <c r="A2178" s="1"/>
      <c r="B2178" s="204"/>
      <c r="C2178" s="1"/>
      <c r="D2178" s="1"/>
      <c r="E2178" s="1"/>
      <c r="F2178" s="279"/>
      <c r="G2178" s="1"/>
      <c r="J2178" s="34"/>
    </row>
    <row r="2179" spans="1:10">
      <c r="A2179" s="1"/>
      <c r="B2179" s="204"/>
      <c r="C2179" s="1"/>
      <c r="D2179" s="1"/>
      <c r="E2179" s="1"/>
      <c r="F2179" s="279"/>
      <c r="G2179" s="1"/>
      <c r="J2179" s="34"/>
    </row>
    <row r="2180" spans="1:10">
      <c r="A2180" s="1"/>
      <c r="B2180" s="204"/>
      <c r="C2180" s="1"/>
      <c r="D2180" s="1"/>
      <c r="E2180" s="1"/>
      <c r="F2180" s="279"/>
      <c r="G2180" s="1"/>
      <c r="J2180" s="34"/>
    </row>
    <row r="2181" spans="1:10">
      <c r="A2181" s="1"/>
      <c r="B2181" s="204"/>
      <c r="C2181" s="1"/>
      <c r="D2181" s="1"/>
      <c r="E2181" s="1"/>
      <c r="F2181" s="279"/>
      <c r="G2181" s="1"/>
      <c r="J2181" s="34"/>
    </row>
    <row r="2182" spans="1:10">
      <c r="A2182" s="1"/>
      <c r="B2182" s="204"/>
      <c r="C2182" s="1"/>
      <c r="D2182" s="1"/>
      <c r="E2182" s="1"/>
      <c r="F2182" s="279"/>
      <c r="G2182" s="1"/>
      <c r="J2182" s="34"/>
    </row>
    <row r="2183" spans="1:10">
      <c r="A2183" s="1"/>
      <c r="B2183" s="204"/>
      <c r="C2183" s="1"/>
      <c r="D2183" s="1"/>
      <c r="E2183" s="1"/>
      <c r="F2183" s="279"/>
      <c r="G2183" s="1"/>
      <c r="J2183" s="34"/>
    </row>
    <row r="2184" spans="1:10">
      <c r="A2184" s="1"/>
      <c r="B2184" s="204"/>
      <c r="C2184" s="1"/>
      <c r="D2184" s="1"/>
      <c r="E2184" s="1"/>
      <c r="F2184" s="279"/>
      <c r="G2184" s="1"/>
      <c r="J2184" s="34"/>
    </row>
    <row r="2185" spans="1:10">
      <c r="A2185" s="1"/>
      <c r="B2185" s="204"/>
      <c r="C2185" s="1"/>
      <c r="D2185" s="1"/>
      <c r="E2185" s="1"/>
      <c r="F2185" s="279"/>
      <c r="G2185" s="1"/>
      <c r="J2185" s="34"/>
    </row>
    <row r="2186" spans="1:10">
      <c r="A2186" s="1"/>
      <c r="B2186" s="204"/>
      <c r="C2186" s="1"/>
      <c r="D2186" s="1"/>
      <c r="E2186" s="1"/>
      <c r="F2186" s="279"/>
      <c r="G2186" s="1"/>
      <c r="J2186" s="34"/>
    </row>
    <row r="2187" spans="1:10">
      <c r="A2187" s="1"/>
      <c r="B2187" s="204"/>
      <c r="C2187" s="1"/>
      <c r="D2187" s="1"/>
      <c r="E2187" s="1"/>
      <c r="F2187" s="279"/>
      <c r="G2187" s="1"/>
      <c r="J2187" s="34"/>
    </row>
    <row r="2188" spans="1:10">
      <c r="A2188" s="1"/>
      <c r="B2188" s="204"/>
      <c r="C2188" s="1"/>
      <c r="D2188" s="1"/>
      <c r="E2188" s="1"/>
      <c r="F2188" s="279"/>
      <c r="G2188" s="1"/>
      <c r="J2188" s="34"/>
    </row>
    <row r="2189" spans="1:10">
      <c r="A2189" s="1"/>
      <c r="B2189" s="204"/>
      <c r="C2189" s="1"/>
      <c r="D2189" s="1"/>
      <c r="E2189" s="1"/>
      <c r="F2189" s="279"/>
      <c r="G2189" s="1"/>
      <c r="J2189" s="34"/>
    </row>
    <row r="2190" spans="1:10">
      <c r="A2190" s="1"/>
      <c r="B2190" s="204"/>
      <c r="C2190" s="1"/>
      <c r="D2190" s="1"/>
      <c r="E2190" s="1"/>
      <c r="F2190" s="279"/>
      <c r="G2190" s="1"/>
      <c r="J2190" s="34"/>
    </row>
    <row r="2191" spans="1:10">
      <c r="A2191" s="1"/>
      <c r="B2191" s="204"/>
      <c r="C2191" s="1"/>
      <c r="D2191" s="1"/>
      <c r="E2191" s="1"/>
      <c r="F2191" s="279"/>
      <c r="G2191" s="1"/>
      <c r="J2191" s="34"/>
    </row>
    <row r="2192" spans="1:10">
      <c r="A2192" s="1"/>
      <c r="B2192" s="204"/>
      <c r="C2192" s="1"/>
      <c r="D2192" s="1"/>
      <c r="E2192" s="1"/>
      <c r="F2192" s="279"/>
      <c r="G2192" s="1"/>
      <c r="J2192" s="34"/>
    </row>
    <row r="2193" spans="1:10">
      <c r="A2193" s="1"/>
      <c r="B2193" s="204"/>
      <c r="C2193" s="1"/>
      <c r="D2193" s="1"/>
      <c r="E2193" s="1"/>
      <c r="F2193" s="279"/>
      <c r="G2193" s="1"/>
      <c r="J2193" s="34"/>
    </row>
    <row r="2194" spans="1:10">
      <c r="A2194" s="1"/>
      <c r="B2194" s="204"/>
      <c r="C2194" s="1"/>
      <c r="D2194" s="1"/>
      <c r="E2194" s="1"/>
      <c r="F2194" s="279"/>
      <c r="G2194" s="1"/>
      <c r="J2194" s="34"/>
    </row>
    <row r="2195" spans="1:10">
      <c r="A2195" s="1"/>
      <c r="B2195" s="204"/>
      <c r="C2195" s="1"/>
      <c r="D2195" s="1"/>
      <c r="E2195" s="1"/>
      <c r="F2195" s="279"/>
      <c r="G2195" s="1"/>
      <c r="J2195" s="34"/>
    </row>
    <row r="2196" spans="1:10">
      <c r="A2196" s="1"/>
      <c r="B2196" s="204"/>
      <c r="C2196" s="1"/>
      <c r="D2196" s="1"/>
      <c r="E2196" s="1"/>
      <c r="F2196" s="279"/>
      <c r="G2196" s="1"/>
      <c r="J2196" s="34"/>
    </row>
    <row r="2197" spans="1:10">
      <c r="A2197" s="1"/>
      <c r="B2197" s="204"/>
      <c r="C2197" s="1"/>
      <c r="D2197" s="1"/>
      <c r="E2197" s="1"/>
      <c r="F2197" s="279"/>
      <c r="G2197" s="1"/>
      <c r="J2197" s="34"/>
    </row>
    <row r="2198" spans="1:10">
      <c r="A2198" s="1"/>
      <c r="B2198" s="204"/>
      <c r="C2198" s="1"/>
      <c r="D2198" s="1"/>
      <c r="E2198" s="1"/>
      <c r="F2198" s="279"/>
      <c r="G2198" s="1"/>
      <c r="J2198" s="34"/>
    </row>
    <row r="2199" spans="1:10">
      <c r="A2199" s="1"/>
      <c r="B2199" s="204"/>
      <c r="C2199" s="1"/>
      <c r="D2199" s="1"/>
      <c r="E2199" s="1"/>
      <c r="F2199" s="279"/>
      <c r="G2199" s="1"/>
      <c r="J2199" s="34"/>
    </row>
    <row r="2200" spans="1:10">
      <c r="A2200" s="1"/>
      <c r="B2200" s="204"/>
      <c r="C2200" s="1"/>
      <c r="D2200" s="1"/>
      <c r="E2200" s="1"/>
      <c r="F2200" s="279"/>
      <c r="G2200" s="1"/>
      <c r="J2200" s="34"/>
    </row>
    <row r="2201" spans="1:10">
      <c r="A2201" s="1"/>
      <c r="B2201" s="204"/>
      <c r="C2201" s="1"/>
      <c r="D2201" s="1"/>
      <c r="E2201" s="1"/>
      <c r="F2201" s="279"/>
      <c r="G2201" s="1"/>
      <c r="J2201" s="34"/>
    </row>
    <row r="2202" spans="1:10">
      <c r="A2202" s="1"/>
      <c r="B2202" s="204"/>
      <c r="C2202" s="1"/>
      <c r="D2202" s="1"/>
      <c r="E2202" s="1"/>
      <c r="F2202" s="279"/>
      <c r="G2202" s="1"/>
      <c r="J2202" s="34"/>
    </row>
    <row r="2203" spans="1:10">
      <c r="A2203" s="1"/>
      <c r="B2203" s="204"/>
      <c r="C2203" s="1"/>
      <c r="D2203" s="1"/>
      <c r="E2203" s="1"/>
      <c r="F2203" s="279"/>
      <c r="G2203" s="1"/>
      <c r="J2203" s="34"/>
    </row>
    <row r="2204" spans="1:10">
      <c r="A2204" s="1"/>
      <c r="B2204" s="204"/>
      <c r="C2204" s="1"/>
      <c r="D2204" s="1"/>
      <c r="E2204" s="1"/>
      <c r="F2204" s="279"/>
      <c r="G2204" s="1"/>
      <c r="J2204" s="34"/>
    </row>
    <row r="2205" spans="1:10">
      <c r="A2205" s="1"/>
      <c r="B2205" s="204"/>
      <c r="C2205" s="1"/>
      <c r="D2205" s="1"/>
      <c r="E2205" s="1"/>
      <c r="F2205" s="279"/>
      <c r="G2205" s="1"/>
      <c r="J2205" s="34"/>
    </row>
    <row r="2206" spans="1:10">
      <c r="A2206" s="1"/>
      <c r="B2206" s="204"/>
      <c r="C2206" s="1"/>
      <c r="D2206" s="1"/>
      <c r="E2206" s="1"/>
      <c r="F2206" s="279"/>
      <c r="G2206" s="1"/>
      <c r="J2206" s="34"/>
    </row>
    <row r="2207" spans="1:10">
      <c r="A2207" s="1"/>
      <c r="B2207" s="204"/>
      <c r="C2207" s="1"/>
      <c r="D2207" s="1"/>
      <c r="E2207" s="1"/>
      <c r="F2207" s="279"/>
      <c r="G2207" s="1"/>
      <c r="J2207" s="34"/>
    </row>
    <row r="2208" spans="1:10">
      <c r="A2208" s="1"/>
      <c r="B2208" s="204"/>
      <c r="C2208" s="1"/>
      <c r="D2208" s="1"/>
      <c r="E2208" s="1"/>
      <c r="F2208" s="279"/>
      <c r="G2208" s="1"/>
      <c r="J2208" s="34"/>
    </row>
    <row r="2209" spans="1:10">
      <c r="A2209" s="1"/>
      <c r="B2209" s="204"/>
      <c r="C2209" s="1"/>
      <c r="D2209" s="1"/>
      <c r="E2209" s="1"/>
      <c r="F2209" s="279"/>
      <c r="G2209" s="1"/>
      <c r="J2209" s="34"/>
    </row>
    <row r="2210" spans="1:10">
      <c r="A2210" s="1"/>
      <c r="B2210" s="204"/>
      <c r="C2210" s="1"/>
      <c r="D2210" s="1"/>
      <c r="E2210" s="1"/>
      <c r="F2210" s="279"/>
      <c r="G2210" s="1"/>
      <c r="J2210" s="34"/>
    </row>
    <row r="2211" spans="1:10">
      <c r="A2211" s="1"/>
      <c r="B2211" s="204"/>
      <c r="C2211" s="1"/>
      <c r="D2211" s="1"/>
      <c r="E2211" s="1"/>
      <c r="F2211" s="279"/>
      <c r="G2211" s="1"/>
      <c r="J2211" s="34"/>
    </row>
    <row r="2212" spans="1:10">
      <c r="A2212" s="1"/>
      <c r="B2212" s="204"/>
      <c r="C2212" s="1"/>
      <c r="D2212" s="1"/>
      <c r="E2212" s="1"/>
      <c r="F2212" s="279"/>
      <c r="G2212" s="1"/>
      <c r="J2212" s="34"/>
    </row>
    <row r="2213" spans="1:10">
      <c r="A2213" s="1"/>
      <c r="B2213" s="204"/>
      <c r="C2213" s="1"/>
      <c r="D2213" s="1"/>
      <c r="E2213" s="1"/>
      <c r="F2213" s="279"/>
      <c r="G2213" s="1"/>
      <c r="J2213" s="34"/>
    </row>
    <row r="2214" spans="1:10">
      <c r="A2214" s="1"/>
      <c r="B2214" s="204"/>
      <c r="C2214" s="1"/>
      <c r="D2214" s="1"/>
      <c r="E2214" s="1"/>
      <c r="F2214" s="279"/>
      <c r="G2214" s="1"/>
      <c r="J2214" s="34"/>
    </row>
    <row r="2215" spans="1:10">
      <c r="A2215" s="1"/>
      <c r="B2215" s="204"/>
      <c r="C2215" s="1"/>
      <c r="D2215" s="1"/>
      <c r="E2215" s="1"/>
      <c r="F2215" s="279"/>
      <c r="G2215" s="1"/>
      <c r="J2215" s="34"/>
    </row>
    <row r="2216" spans="1:10">
      <c r="A2216" s="1"/>
      <c r="B2216" s="204"/>
      <c r="C2216" s="1"/>
      <c r="D2216" s="1"/>
      <c r="E2216" s="1"/>
      <c r="F2216" s="279"/>
      <c r="G2216" s="1"/>
      <c r="J2216" s="34"/>
    </row>
    <row r="2217" spans="1:10">
      <c r="A2217" s="1"/>
      <c r="B2217" s="204"/>
      <c r="C2217" s="1"/>
      <c r="D2217" s="1"/>
      <c r="E2217" s="1"/>
      <c r="F2217" s="279"/>
      <c r="G2217" s="1"/>
      <c r="J2217" s="34"/>
    </row>
    <row r="2218" spans="1:10">
      <c r="A2218" s="1"/>
      <c r="B2218" s="204"/>
      <c r="C2218" s="1"/>
      <c r="D2218" s="1"/>
      <c r="E2218" s="1"/>
      <c r="F2218" s="279"/>
      <c r="G2218" s="1"/>
      <c r="J2218" s="34"/>
    </row>
    <row r="2219" spans="1:10">
      <c r="A2219" s="1"/>
      <c r="B2219" s="204"/>
      <c r="C2219" s="1"/>
      <c r="D2219" s="1"/>
      <c r="E2219" s="1"/>
      <c r="F2219" s="279"/>
      <c r="G2219" s="1"/>
      <c r="J2219" s="34"/>
    </row>
    <row r="2220" spans="1:10">
      <c r="A2220" s="1"/>
      <c r="B2220" s="204"/>
      <c r="C2220" s="1"/>
      <c r="D2220" s="1"/>
      <c r="E2220" s="1"/>
      <c r="F2220" s="279"/>
      <c r="G2220" s="1"/>
      <c r="J2220" s="34"/>
    </row>
    <row r="2221" spans="1:10">
      <c r="A2221" s="1"/>
      <c r="B2221" s="204"/>
      <c r="C2221" s="1"/>
      <c r="D2221" s="1"/>
      <c r="E2221" s="1"/>
      <c r="F2221" s="279"/>
      <c r="G2221" s="1"/>
      <c r="J2221" s="34"/>
    </row>
    <row r="2222" spans="1:10">
      <c r="A2222" s="1"/>
      <c r="B2222" s="204"/>
      <c r="C2222" s="1"/>
      <c r="D2222" s="1"/>
      <c r="E2222" s="1"/>
      <c r="F2222" s="279"/>
      <c r="G2222" s="1"/>
      <c r="J2222" s="34"/>
    </row>
    <row r="2223" spans="1:10">
      <c r="A2223" s="1"/>
      <c r="B2223" s="204"/>
      <c r="C2223" s="1"/>
      <c r="D2223" s="1"/>
      <c r="E2223" s="1"/>
      <c r="F2223" s="279"/>
      <c r="G2223" s="1"/>
      <c r="J2223" s="34"/>
    </row>
    <row r="2224" spans="1:10">
      <c r="A2224" s="1"/>
      <c r="B2224" s="204"/>
      <c r="C2224" s="1"/>
      <c r="D2224" s="1"/>
      <c r="E2224" s="1"/>
      <c r="F2224" s="279"/>
      <c r="G2224" s="1"/>
      <c r="J2224" s="34"/>
    </row>
    <row r="2225" spans="1:10">
      <c r="A2225" s="1"/>
      <c r="B2225" s="204"/>
      <c r="C2225" s="1"/>
      <c r="D2225" s="1"/>
      <c r="E2225" s="1"/>
      <c r="F2225" s="279"/>
      <c r="G2225" s="1"/>
      <c r="J2225" s="34"/>
    </row>
    <row r="2226" spans="1:10">
      <c r="A2226" s="1"/>
      <c r="B2226" s="204"/>
      <c r="C2226" s="1"/>
      <c r="D2226" s="1"/>
      <c r="E2226" s="1"/>
      <c r="F2226" s="279"/>
      <c r="G2226" s="1"/>
      <c r="J2226" s="34"/>
    </row>
    <row r="2227" spans="1:10">
      <c r="A2227" s="1"/>
      <c r="B2227" s="204"/>
      <c r="C2227" s="1"/>
      <c r="D2227" s="1"/>
      <c r="E2227" s="1"/>
      <c r="F2227" s="279"/>
      <c r="G2227" s="1"/>
      <c r="J2227" s="34"/>
    </row>
    <row r="2228" spans="1:10">
      <c r="A2228" s="1"/>
      <c r="B2228" s="204"/>
      <c r="C2228" s="1"/>
      <c r="D2228" s="1"/>
      <c r="E2228" s="1"/>
      <c r="F2228" s="279"/>
      <c r="G2228" s="1"/>
      <c r="J2228" s="34"/>
    </row>
    <row r="2229" spans="1:10">
      <c r="A2229" s="1"/>
      <c r="B2229" s="204"/>
      <c r="C2229" s="1"/>
      <c r="D2229" s="1"/>
      <c r="E2229" s="1"/>
      <c r="F2229" s="279"/>
      <c r="G2229" s="1"/>
      <c r="J2229" s="34"/>
    </row>
    <row r="2230" spans="1:10">
      <c r="A2230" s="1"/>
      <c r="B2230" s="204"/>
      <c r="C2230" s="1"/>
      <c r="D2230" s="1"/>
      <c r="E2230" s="1"/>
      <c r="F2230" s="279"/>
      <c r="G2230" s="1"/>
      <c r="J2230" s="34"/>
    </row>
    <row r="2231" spans="1:10">
      <c r="A2231" s="1"/>
      <c r="B2231" s="204"/>
      <c r="C2231" s="1"/>
      <c r="D2231" s="1"/>
      <c r="E2231" s="1"/>
      <c r="F2231" s="279"/>
      <c r="G2231" s="1"/>
      <c r="J2231" s="34"/>
    </row>
    <row r="2232" spans="1:10">
      <c r="A2232" s="1"/>
      <c r="B2232" s="204"/>
      <c r="C2232" s="1"/>
      <c r="D2232" s="1"/>
      <c r="E2232" s="1"/>
      <c r="F2232" s="279"/>
      <c r="G2232" s="1"/>
      <c r="J2232" s="34"/>
    </row>
    <row r="2233" spans="1:10">
      <c r="A2233" s="1"/>
      <c r="B2233" s="204"/>
      <c r="C2233" s="1"/>
      <c r="D2233" s="1"/>
      <c r="E2233" s="1"/>
      <c r="F2233" s="279"/>
      <c r="G2233" s="1"/>
      <c r="J2233" s="34"/>
    </row>
    <row r="2234" spans="1:10">
      <c r="A2234" s="1"/>
      <c r="B2234" s="204"/>
      <c r="C2234" s="1"/>
      <c r="D2234" s="1"/>
      <c r="E2234" s="1"/>
      <c r="F2234" s="279"/>
      <c r="G2234" s="1"/>
      <c r="J2234" s="34"/>
    </row>
    <row r="2235" spans="1:10">
      <c r="A2235" s="1"/>
      <c r="B2235" s="204"/>
      <c r="C2235" s="1"/>
      <c r="D2235" s="1"/>
      <c r="E2235" s="1"/>
      <c r="F2235" s="279"/>
      <c r="G2235" s="1"/>
      <c r="J2235" s="34"/>
    </row>
    <row r="2236" spans="1:10">
      <c r="A2236" s="1"/>
      <c r="B2236" s="204"/>
      <c r="C2236" s="1"/>
      <c r="D2236" s="1"/>
      <c r="E2236" s="1"/>
      <c r="F2236" s="279"/>
      <c r="G2236" s="1"/>
      <c r="J2236" s="34"/>
    </row>
    <row r="2237" spans="1:10">
      <c r="A2237" s="1"/>
      <c r="B2237" s="204"/>
      <c r="C2237" s="1"/>
      <c r="D2237" s="1"/>
      <c r="E2237" s="1"/>
      <c r="F2237" s="279"/>
      <c r="G2237" s="1"/>
      <c r="J2237" s="34"/>
    </row>
    <row r="2238" spans="1:10">
      <c r="A2238" s="1"/>
      <c r="B2238" s="204"/>
      <c r="C2238" s="1"/>
      <c r="D2238" s="1"/>
      <c r="E2238" s="1"/>
      <c r="F2238" s="279"/>
      <c r="G2238" s="1"/>
      <c r="J2238" s="34"/>
    </row>
    <row r="2239" spans="1:10">
      <c r="A2239" s="1"/>
      <c r="B2239" s="204"/>
      <c r="C2239" s="1"/>
      <c r="D2239" s="1"/>
      <c r="E2239" s="1"/>
      <c r="F2239" s="279"/>
      <c r="G2239" s="1"/>
      <c r="J2239" s="34"/>
    </row>
    <row r="2240" spans="1:10">
      <c r="A2240" s="1"/>
      <c r="B2240" s="204"/>
      <c r="C2240" s="1"/>
      <c r="D2240" s="1"/>
      <c r="E2240" s="1"/>
      <c r="F2240" s="279"/>
      <c r="G2240" s="1"/>
      <c r="J2240" s="34"/>
    </row>
    <row r="2241" spans="1:10">
      <c r="A2241" s="1"/>
      <c r="B2241" s="204"/>
      <c r="C2241" s="1"/>
      <c r="D2241" s="1"/>
      <c r="E2241" s="1"/>
      <c r="F2241" s="279"/>
      <c r="G2241" s="1"/>
      <c r="J2241" s="34"/>
    </row>
    <row r="2242" spans="1:10">
      <c r="A2242" s="1"/>
      <c r="B2242" s="204"/>
      <c r="C2242" s="1"/>
      <c r="D2242" s="1"/>
      <c r="E2242" s="1"/>
      <c r="F2242" s="279"/>
      <c r="G2242" s="1"/>
      <c r="J2242" s="34"/>
    </row>
    <row r="2243" spans="1:10">
      <c r="A2243" s="1"/>
      <c r="B2243" s="204"/>
      <c r="C2243" s="1"/>
      <c r="D2243" s="1"/>
      <c r="E2243" s="1"/>
      <c r="F2243" s="279"/>
      <c r="G2243" s="1"/>
      <c r="J2243" s="34"/>
    </row>
    <row r="2244" spans="1:10">
      <c r="A2244" s="1"/>
      <c r="B2244" s="204"/>
      <c r="C2244" s="1"/>
      <c r="D2244" s="1"/>
      <c r="E2244" s="1"/>
      <c r="F2244" s="279"/>
      <c r="G2244" s="1"/>
      <c r="J2244" s="34"/>
    </row>
    <row r="2245" spans="1:10">
      <c r="A2245" s="1"/>
      <c r="B2245" s="204"/>
      <c r="C2245" s="1"/>
      <c r="D2245" s="1"/>
      <c r="E2245" s="1"/>
      <c r="F2245" s="279"/>
      <c r="G2245" s="1"/>
      <c r="J2245" s="34"/>
    </row>
    <row r="2246" spans="1:10">
      <c r="A2246" s="1"/>
      <c r="B2246" s="204"/>
      <c r="C2246" s="1"/>
      <c r="D2246" s="1"/>
      <c r="E2246" s="1"/>
      <c r="F2246" s="279"/>
      <c r="G2246" s="1"/>
      <c r="J2246" s="34"/>
    </row>
    <row r="2247" spans="1:10">
      <c r="A2247" s="1"/>
      <c r="B2247" s="204"/>
      <c r="C2247" s="1"/>
      <c r="D2247" s="1"/>
      <c r="E2247" s="1"/>
      <c r="F2247" s="279"/>
      <c r="G2247" s="1"/>
      <c r="J2247" s="34"/>
    </row>
    <row r="2248" spans="1:10">
      <c r="A2248" s="1"/>
      <c r="B2248" s="204"/>
      <c r="C2248" s="1"/>
      <c r="D2248" s="1"/>
      <c r="E2248" s="1"/>
      <c r="F2248" s="279"/>
      <c r="G2248" s="1"/>
      <c r="J2248" s="34"/>
    </row>
    <row r="2249" spans="1:10">
      <c r="A2249" s="1"/>
      <c r="B2249" s="204"/>
      <c r="C2249" s="1"/>
      <c r="D2249" s="1"/>
      <c r="E2249" s="1"/>
      <c r="F2249" s="279"/>
      <c r="G2249" s="1"/>
      <c r="J2249" s="34"/>
    </row>
    <row r="2250" spans="1:10">
      <c r="A2250" s="1"/>
      <c r="B2250" s="204"/>
      <c r="C2250" s="1"/>
      <c r="D2250" s="1"/>
      <c r="E2250" s="1"/>
      <c r="F2250" s="279"/>
      <c r="G2250" s="1"/>
      <c r="J2250" s="34"/>
    </row>
    <row r="2251" spans="1:10">
      <c r="A2251" s="1"/>
      <c r="B2251" s="204"/>
      <c r="C2251" s="1"/>
      <c r="D2251" s="1"/>
      <c r="E2251" s="1"/>
      <c r="F2251" s="279"/>
      <c r="G2251" s="1"/>
      <c r="J2251" s="34"/>
    </row>
    <row r="2252" spans="1:10">
      <c r="A2252" s="1"/>
      <c r="B2252" s="204"/>
      <c r="C2252" s="1"/>
      <c r="D2252" s="1"/>
      <c r="E2252" s="1"/>
      <c r="F2252" s="279"/>
      <c r="G2252" s="1"/>
      <c r="J2252" s="34"/>
    </row>
    <row r="2253" spans="1:10">
      <c r="A2253" s="1"/>
      <c r="B2253" s="204"/>
      <c r="C2253" s="1"/>
      <c r="D2253" s="1"/>
      <c r="E2253" s="1"/>
      <c r="F2253" s="279"/>
      <c r="G2253" s="1"/>
      <c r="J2253" s="34"/>
    </row>
    <row r="2254" spans="1:10">
      <c r="A2254" s="1"/>
      <c r="B2254" s="204"/>
      <c r="C2254" s="1"/>
      <c r="D2254" s="1"/>
      <c r="E2254" s="1"/>
      <c r="F2254" s="279"/>
      <c r="G2254" s="1"/>
      <c r="J2254" s="34"/>
    </row>
    <row r="2255" spans="1:10">
      <c r="A2255" s="1"/>
      <c r="B2255" s="204"/>
      <c r="C2255" s="1"/>
      <c r="D2255" s="1"/>
      <c r="E2255" s="1"/>
      <c r="F2255" s="279"/>
      <c r="G2255" s="1"/>
      <c r="J2255" s="34"/>
    </row>
    <row r="2256" spans="1:10">
      <c r="A2256" s="1"/>
      <c r="B2256" s="204"/>
      <c r="C2256" s="1"/>
      <c r="D2256" s="1"/>
      <c r="E2256" s="1"/>
      <c r="F2256" s="279"/>
      <c r="G2256" s="1"/>
      <c r="J2256" s="34"/>
    </row>
    <row r="2257" spans="1:10">
      <c r="A2257" s="1"/>
      <c r="B2257" s="204"/>
      <c r="C2257" s="1"/>
      <c r="D2257" s="1"/>
      <c r="E2257" s="1"/>
      <c r="F2257" s="279"/>
      <c r="G2257" s="1"/>
      <c r="J2257" s="34"/>
    </row>
    <row r="2258" spans="1:10">
      <c r="A2258" s="1"/>
      <c r="B2258" s="204"/>
      <c r="C2258" s="1"/>
      <c r="D2258" s="1"/>
      <c r="E2258" s="1"/>
      <c r="F2258" s="279"/>
      <c r="G2258" s="1"/>
      <c r="J2258" s="34"/>
    </row>
    <row r="2259" spans="1:10">
      <c r="A2259" s="1"/>
      <c r="B2259" s="204"/>
      <c r="C2259" s="1"/>
      <c r="D2259" s="1"/>
      <c r="E2259" s="1"/>
      <c r="F2259" s="279"/>
      <c r="G2259" s="1"/>
      <c r="J2259" s="34"/>
    </row>
    <row r="2260" spans="1:10">
      <c r="A2260" s="1"/>
      <c r="B2260" s="204"/>
      <c r="C2260" s="1"/>
      <c r="D2260" s="1"/>
      <c r="E2260" s="1"/>
      <c r="F2260" s="279"/>
      <c r="G2260" s="1"/>
      <c r="J2260" s="34"/>
    </row>
    <row r="2261" spans="1:10">
      <c r="A2261" s="1"/>
      <c r="B2261" s="204"/>
      <c r="C2261" s="1"/>
      <c r="D2261" s="1"/>
      <c r="E2261" s="1"/>
      <c r="F2261" s="279"/>
      <c r="G2261" s="1"/>
      <c r="J2261" s="34"/>
    </row>
    <row r="2262" spans="1:10">
      <c r="A2262" s="1"/>
      <c r="B2262" s="204"/>
      <c r="C2262" s="1"/>
      <c r="D2262" s="1"/>
      <c r="E2262" s="1"/>
      <c r="F2262" s="279"/>
      <c r="G2262" s="1"/>
      <c r="J2262" s="34"/>
    </row>
    <row r="2263" spans="1:10">
      <c r="A2263" s="1"/>
      <c r="B2263" s="204"/>
      <c r="C2263" s="1"/>
      <c r="D2263" s="1"/>
      <c r="E2263" s="1"/>
      <c r="F2263" s="279"/>
      <c r="G2263" s="1"/>
      <c r="J2263" s="34"/>
    </row>
    <row r="2264" spans="1:10">
      <c r="A2264" s="1"/>
      <c r="B2264" s="204"/>
      <c r="C2264" s="1"/>
      <c r="D2264" s="1"/>
      <c r="E2264" s="1"/>
      <c r="F2264" s="279"/>
      <c r="G2264" s="1"/>
      <c r="J2264" s="34"/>
    </row>
    <row r="2265" spans="1:10">
      <c r="A2265" s="1"/>
      <c r="B2265" s="204"/>
      <c r="C2265" s="1"/>
      <c r="D2265" s="1"/>
      <c r="E2265" s="1"/>
      <c r="F2265" s="279"/>
      <c r="G2265" s="1"/>
      <c r="J2265" s="34"/>
    </row>
    <row r="2266" spans="1:10">
      <c r="A2266" s="1"/>
      <c r="B2266" s="204"/>
      <c r="C2266" s="1"/>
      <c r="D2266" s="1"/>
      <c r="E2266" s="1"/>
      <c r="F2266" s="279"/>
      <c r="G2266" s="1"/>
      <c r="J2266" s="34"/>
    </row>
    <row r="2267" spans="1:10">
      <c r="A2267" s="1"/>
      <c r="B2267" s="204"/>
      <c r="C2267" s="1"/>
      <c r="D2267" s="1"/>
      <c r="E2267" s="1"/>
      <c r="F2267" s="279"/>
      <c r="G2267" s="1"/>
      <c r="J2267" s="34"/>
    </row>
    <row r="2268" spans="1:10">
      <c r="A2268" s="1"/>
      <c r="B2268" s="204"/>
      <c r="C2268" s="1"/>
      <c r="D2268" s="1"/>
      <c r="E2268" s="1"/>
      <c r="F2268" s="279"/>
      <c r="G2268" s="1"/>
      <c r="J2268" s="34"/>
    </row>
    <row r="2269" spans="1:10">
      <c r="A2269" s="1"/>
      <c r="B2269" s="204"/>
      <c r="C2269" s="1"/>
      <c r="D2269" s="1"/>
      <c r="E2269" s="1"/>
      <c r="F2269" s="279"/>
      <c r="G2269" s="1"/>
      <c r="J2269" s="34"/>
    </row>
    <row r="2270" spans="1:10">
      <c r="A2270" s="1"/>
      <c r="B2270" s="204"/>
      <c r="C2270" s="1"/>
      <c r="D2270" s="1"/>
      <c r="E2270" s="1"/>
      <c r="F2270" s="279"/>
      <c r="G2270" s="1"/>
      <c r="J2270" s="34"/>
    </row>
    <row r="2271" spans="1:10">
      <c r="A2271" s="1"/>
      <c r="B2271" s="204"/>
      <c r="C2271" s="1"/>
      <c r="D2271" s="1"/>
      <c r="E2271" s="1"/>
      <c r="F2271" s="279"/>
      <c r="G2271" s="1"/>
      <c r="J2271" s="34"/>
    </row>
    <row r="2272" spans="1:10">
      <c r="A2272" s="1"/>
      <c r="B2272" s="204"/>
      <c r="C2272" s="1"/>
      <c r="D2272" s="1"/>
      <c r="E2272" s="1"/>
      <c r="F2272" s="279"/>
      <c r="G2272" s="1"/>
      <c r="J2272" s="34"/>
    </row>
    <row r="2273" spans="1:10">
      <c r="A2273" s="1"/>
      <c r="B2273" s="204"/>
      <c r="C2273" s="1"/>
      <c r="D2273" s="1"/>
      <c r="E2273" s="1"/>
      <c r="F2273" s="279"/>
      <c r="G2273" s="1"/>
      <c r="J2273" s="34"/>
    </row>
    <row r="2274" spans="1:10">
      <c r="A2274" s="1"/>
      <c r="B2274" s="204"/>
      <c r="C2274" s="1"/>
      <c r="D2274" s="1"/>
      <c r="E2274" s="1"/>
      <c r="F2274" s="279"/>
      <c r="G2274" s="1"/>
      <c r="J2274" s="34"/>
    </row>
    <row r="2275" spans="1:10">
      <c r="A2275" s="1"/>
      <c r="B2275" s="204"/>
      <c r="C2275" s="1"/>
      <c r="D2275" s="1"/>
      <c r="E2275" s="1"/>
      <c r="F2275" s="279"/>
      <c r="G2275" s="1"/>
      <c r="J2275" s="34"/>
    </row>
    <row r="2276" spans="1:10">
      <c r="A2276" s="1"/>
      <c r="B2276" s="204"/>
      <c r="C2276" s="1"/>
      <c r="D2276" s="1"/>
      <c r="E2276" s="1"/>
      <c r="F2276" s="279"/>
      <c r="G2276" s="1"/>
      <c r="J2276" s="34"/>
    </row>
    <row r="2277" spans="1:10">
      <c r="A2277" s="1"/>
      <c r="B2277" s="204"/>
      <c r="C2277" s="1"/>
      <c r="D2277" s="1"/>
      <c r="E2277" s="1"/>
      <c r="F2277" s="279"/>
      <c r="G2277" s="1"/>
      <c r="J2277" s="34"/>
    </row>
    <row r="2278" spans="1:10">
      <c r="A2278" s="1"/>
      <c r="B2278" s="204"/>
      <c r="C2278" s="1"/>
      <c r="D2278" s="1"/>
      <c r="E2278" s="1"/>
      <c r="F2278" s="279"/>
      <c r="G2278" s="1"/>
      <c r="J2278" s="34"/>
    </row>
    <row r="2279" spans="1:10">
      <c r="A2279" s="1"/>
      <c r="B2279" s="204"/>
      <c r="C2279" s="1"/>
      <c r="D2279" s="1"/>
      <c r="E2279" s="1"/>
      <c r="F2279" s="279"/>
      <c r="G2279" s="1"/>
      <c r="J2279" s="34"/>
    </row>
    <row r="2280" spans="1:10">
      <c r="A2280" s="1"/>
      <c r="B2280" s="204"/>
      <c r="C2280" s="1"/>
      <c r="D2280" s="1"/>
      <c r="E2280" s="1"/>
      <c r="F2280" s="279"/>
      <c r="G2280" s="1"/>
      <c r="J2280" s="34"/>
    </row>
    <row r="2281" spans="1:10">
      <c r="A2281" s="1"/>
      <c r="B2281" s="204"/>
      <c r="C2281" s="1"/>
      <c r="D2281" s="1"/>
      <c r="E2281" s="1"/>
      <c r="F2281" s="279"/>
      <c r="G2281" s="1"/>
      <c r="J2281" s="34"/>
    </row>
    <row r="2282" spans="1:10">
      <c r="A2282" s="1"/>
      <c r="B2282" s="204"/>
      <c r="C2282" s="1"/>
      <c r="D2282" s="1"/>
      <c r="E2282" s="1"/>
      <c r="F2282" s="279"/>
      <c r="G2282" s="1"/>
      <c r="J2282" s="34"/>
    </row>
    <row r="2283" spans="1:10">
      <c r="A2283" s="1"/>
      <c r="B2283" s="204"/>
      <c r="C2283" s="1"/>
      <c r="D2283" s="1"/>
      <c r="E2283" s="1"/>
      <c r="F2283" s="279"/>
      <c r="G2283" s="1"/>
      <c r="J2283" s="34"/>
    </row>
    <row r="2284" spans="1:10">
      <c r="A2284" s="1"/>
      <c r="B2284" s="204"/>
      <c r="C2284" s="1"/>
      <c r="D2284" s="1"/>
      <c r="E2284" s="1"/>
      <c r="F2284" s="279"/>
      <c r="G2284" s="1"/>
      <c r="J2284" s="34"/>
    </row>
    <row r="2285" spans="1:10">
      <c r="A2285" s="1"/>
      <c r="B2285" s="204"/>
      <c r="C2285" s="1"/>
      <c r="D2285" s="1"/>
      <c r="E2285" s="1"/>
      <c r="F2285" s="279"/>
      <c r="G2285" s="1"/>
      <c r="J2285" s="34"/>
    </row>
    <row r="2286" spans="1:10">
      <c r="A2286" s="1"/>
      <c r="B2286" s="204"/>
      <c r="C2286" s="1"/>
      <c r="D2286" s="1"/>
      <c r="E2286" s="1"/>
      <c r="F2286" s="279"/>
      <c r="G2286" s="1"/>
      <c r="J2286" s="34"/>
    </row>
    <row r="2287" spans="1:10">
      <c r="A2287" s="1"/>
      <c r="B2287" s="204"/>
      <c r="C2287" s="1"/>
      <c r="D2287" s="1"/>
      <c r="E2287" s="1"/>
      <c r="F2287" s="279"/>
      <c r="G2287" s="1"/>
      <c r="J2287" s="34"/>
    </row>
    <row r="2288" spans="1:10">
      <c r="A2288" s="1"/>
      <c r="B2288" s="204"/>
      <c r="C2288" s="1"/>
      <c r="D2288" s="1"/>
      <c r="E2288" s="1"/>
      <c r="F2288" s="279"/>
      <c r="G2288" s="1"/>
      <c r="J2288" s="34"/>
    </row>
    <row r="2289" spans="1:10">
      <c r="A2289" s="1"/>
      <c r="B2289" s="204"/>
      <c r="C2289" s="1"/>
      <c r="D2289" s="1"/>
      <c r="E2289" s="1"/>
      <c r="F2289" s="279"/>
      <c r="G2289" s="1"/>
      <c r="J2289" s="34"/>
    </row>
    <row r="2290" spans="1:10">
      <c r="A2290" s="1"/>
      <c r="B2290" s="204"/>
      <c r="C2290" s="1"/>
      <c r="D2290" s="1"/>
      <c r="E2290" s="1"/>
      <c r="F2290" s="279"/>
      <c r="G2290" s="1"/>
      <c r="J2290" s="34"/>
    </row>
    <row r="2291" spans="1:10">
      <c r="A2291" s="1"/>
      <c r="B2291" s="204"/>
      <c r="C2291" s="1"/>
      <c r="D2291" s="1"/>
      <c r="E2291" s="1"/>
      <c r="F2291" s="279"/>
      <c r="G2291" s="1"/>
      <c r="J2291" s="34"/>
    </row>
    <row r="2292" spans="1:10">
      <c r="A2292" s="1"/>
      <c r="B2292" s="204"/>
      <c r="C2292" s="1"/>
      <c r="D2292" s="1"/>
      <c r="E2292" s="1"/>
      <c r="F2292" s="279"/>
      <c r="G2292" s="1"/>
      <c r="J2292" s="34"/>
    </row>
    <row r="2293" spans="1:10">
      <c r="A2293" s="1"/>
      <c r="B2293" s="204"/>
      <c r="C2293" s="1"/>
      <c r="D2293" s="1"/>
      <c r="E2293" s="1"/>
      <c r="F2293" s="279"/>
      <c r="G2293" s="1"/>
      <c r="J2293" s="34"/>
    </row>
    <row r="2294" spans="1:10">
      <c r="A2294" s="1"/>
      <c r="B2294" s="204"/>
      <c r="C2294" s="1"/>
      <c r="D2294" s="1"/>
      <c r="E2294" s="1"/>
      <c r="F2294" s="279"/>
      <c r="G2294" s="1"/>
      <c r="J2294" s="34"/>
    </row>
    <row r="2295" spans="1:10">
      <c r="A2295" s="1"/>
      <c r="B2295" s="204"/>
      <c r="C2295" s="1"/>
      <c r="D2295" s="1"/>
      <c r="E2295" s="1"/>
      <c r="F2295" s="279"/>
      <c r="G2295" s="1"/>
      <c r="J2295" s="34"/>
    </row>
    <row r="2296" spans="1:10">
      <c r="A2296" s="1"/>
      <c r="B2296" s="204"/>
      <c r="C2296" s="1"/>
      <c r="D2296" s="1"/>
      <c r="E2296" s="1"/>
      <c r="F2296" s="279"/>
      <c r="G2296" s="1"/>
      <c r="J2296" s="34"/>
    </row>
    <row r="2297" spans="1:10">
      <c r="A2297" s="1"/>
      <c r="B2297" s="204"/>
      <c r="C2297" s="1"/>
      <c r="D2297" s="1"/>
      <c r="E2297" s="1"/>
      <c r="F2297" s="279"/>
      <c r="G2297" s="1"/>
      <c r="J2297" s="34"/>
    </row>
    <row r="2298" spans="1:10">
      <c r="A2298" s="1"/>
      <c r="B2298" s="204"/>
      <c r="C2298" s="1"/>
      <c r="D2298" s="1"/>
      <c r="E2298" s="1"/>
      <c r="F2298" s="279"/>
      <c r="G2298" s="1"/>
      <c r="J2298" s="34"/>
    </row>
    <row r="2299" spans="1:10">
      <c r="A2299" s="1"/>
      <c r="B2299" s="204"/>
      <c r="C2299" s="1"/>
      <c r="D2299" s="1"/>
      <c r="E2299" s="1"/>
      <c r="F2299" s="279"/>
      <c r="G2299" s="1"/>
      <c r="J2299" s="34"/>
    </row>
    <row r="2300" spans="1:10">
      <c r="A2300" s="1"/>
      <c r="B2300" s="204"/>
      <c r="C2300" s="1"/>
      <c r="D2300" s="1"/>
      <c r="E2300" s="1"/>
      <c r="F2300" s="279"/>
      <c r="G2300" s="1"/>
      <c r="J2300" s="34"/>
    </row>
    <row r="2301" spans="1:10">
      <c r="A2301" s="1"/>
      <c r="B2301" s="204"/>
      <c r="C2301" s="1"/>
      <c r="D2301" s="1"/>
      <c r="E2301" s="1"/>
      <c r="F2301" s="279"/>
      <c r="G2301" s="1"/>
      <c r="J2301" s="34"/>
    </row>
    <row r="2302" spans="1:10">
      <c r="A2302" s="1"/>
      <c r="B2302" s="204"/>
      <c r="C2302" s="1"/>
      <c r="D2302" s="1"/>
      <c r="E2302" s="1"/>
      <c r="F2302" s="279"/>
      <c r="G2302" s="1"/>
      <c r="J2302" s="34"/>
    </row>
    <row r="2303" spans="1:10">
      <c r="A2303" s="1"/>
      <c r="B2303" s="204"/>
      <c r="C2303" s="1"/>
      <c r="D2303" s="1"/>
      <c r="E2303" s="1"/>
      <c r="F2303" s="279"/>
      <c r="G2303" s="1"/>
      <c r="J2303" s="34"/>
    </row>
    <row r="2304" spans="1:10">
      <c r="A2304" s="1"/>
      <c r="B2304" s="204"/>
      <c r="C2304" s="1"/>
      <c r="D2304" s="1"/>
      <c r="E2304" s="1"/>
      <c r="F2304" s="279"/>
      <c r="G2304" s="1"/>
      <c r="J2304" s="34"/>
    </row>
    <row r="2305" spans="1:10">
      <c r="A2305" s="1"/>
      <c r="B2305" s="204"/>
      <c r="C2305" s="1"/>
      <c r="D2305" s="1"/>
      <c r="E2305" s="1"/>
      <c r="F2305" s="279"/>
      <c r="G2305" s="1"/>
      <c r="J2305" s="34"/>
    </row>
  </sheetData>
  <autoFilter ref="A1:P2305" xr:uid="{00000000-0009-0000-0000-000000000000}"/>
  <mergeCells count="13">
    <mergeCell ref="I555:J555"/>
    <mergeCell ref="I552:N552"/>
    <mergeCell ref="I554:J554"/>
    <mergeCell ref="I557:J557"/>
    <mergeCell ref="I556:J556"/>
    <mergeCell ref="I553:N553"/>
    <mergeCell ref="I558:J558"/>
    <mergeCell ref="I559:J559"/>
    <mergeCell ref="I562:J562"/>
    <mergeCell ref="I564:J564"/>
    <mergeCell ref="I560:J560"/>
    <mergeCell ref="I561:J561"/>
    <mergeCell ref="I563:J563"/>
  </mergeCells>
  <phoneticPr fontId="5" type="noConversion"/>
  <conditionalFormatting sqref="H8">
    <cfRule type="duplicateValues" dxfId="239" priority="219"/>
  </conditionalFormatting>
  <conditionalFormatting sqref="H9">
    <cfRule type="duplicateValues" dxfId="238" priority="202"/>
  </conditionalFormatting>
  <conditionalFormatting sqref="H10">
    <cfRule type="duplicateValues" dxfId="237" priority="201"/>
  </conditionalFormatting>
  <conditionalFormatting sqref="H18">
    <cfRule type="duplicateValues" dxfId="236" priority="220"/>
  </conditionalFormatting>
  <conditionalFormatting sqref="H32">
    <cfRule type="duplicateValues" dxfId="235" priority="218"/>
  </conditionalFormatting>
  <conditionalFormatting sqref="H62">
    <cfRule type="duplicateValues" dxfId="234" priority="217"/>
  </conditionalFormatting>
  <conditionalFormatting sqref="H63">
    <cfRule type="duplicateValues" dxfId="233" priority="160"/>
  </conditionalFormatting>
  <conditionalFormatting sqref="H87">
    <cfRule type="duplicateValues" dxfId="232" priority="222"/>
  </conditionalFormatting>
  <conditionalFormatting sqref="H177">
    <cfRule type="duplicateValues" dxfId="231" priority="164"/>
  </conditionalFormatting>
  <conditionalFormatting sqref="H180">
    <cfRule type="duplicateValues" dxfId="230" priority="165"/>
  </conditionalFormatting>
  <conditionalFormatting sqref="H191">
    <cfRule type="duplicateValues" dxfId="229" priority="162"/>
  </conditionalFormatting>
  <conditionalFormatting sqref="H201">
    <cfRule type="duplicateValues" dxfId="228" priority="157"/>
  </conditionalFormatting>
  <conditionalFormatting sqref="H212">
    <cfRule type="duplicateValues" dxfId="227" priority="207"/>
  </conditionalFormatting>
  <conditionalFormatting sqref="H213">
    <cfRule type="duplicateValues" dxfId="226" priority="163"/>
  </conditionalFormatting>
  <conditionalFormatting sqref="H218">
    <cfRule type="duplicateValues" dxfId="225" priority="206"/>
  </conditionalFormatting>
  <conditionalFormatting sqref="H222">
    <cfRule type="duplicateValues" dxfId="224" priority="152"/>
  </conditionalFormatting>
  <conditionalFormatting sqref="H228">
    <cfRule type="duplicateValues" dxfId="223" priority="161"/>
  </conditionalFormatting>
  <conditionalFormatting sqref="H240">
    <cfRule type="duplicateValues" dxfId="222" priority="149"/>
  </conditionalFormatting>
  <conditionalFormatting sqref="H245">
    <cfRule type="duplicateValues" dxfId="221" priority="148"/>
  </conditionalFormatting>
  <conditionalFormatting sqref="H271">
    <cfRule type="duplicateValues" dxfId="220" priority="143"/>
  </conditionalFormatting>
  <conditionalFormatting sqref="H272">
    <cfRule type="duplicateValues" dxfId="219" priority="144"/>
  </conditionalFormatting>
  <conditionalFormatting sqref="H273">
    <cfRule type="duplicateValues" dxfId="218" priority="129"/>
  </conditionalFormatting>
  <conditionalFormatting sqref="H289">
    <cfRule type="duplicateValues" dxfId="217" priority="127"/>
  </conditionalFormatting>
  <conditionalFormatting sqref="H291">
    <cfRule type="duplicateValues" dxfId="216" priority="126"/>
  </conditionalFormatting>
  <conditionalFormatting sqref="H298">
    <cfRule type="duplicateValues" dxfId="215" priority="135"/>
  </conditionalFormatting>
  <conditionalFormatting sqref="H301">
    <cfRule type="duplicateValues" dxfId="214" priority="131"/>
  </conditionalFormatting>
  <conditionalFormatting sqref="H303">
    <cfRule type="duplicateValues" dxfId="213" priority="138"/>
  </conditionalFormatting>
  <conditionalFormatting sqref="H304">
    <cfRule type="duplicateValues" dxfId="212" priority="132"/>
  </conditionalFormatting>
  <conditionalFormatting sqref="H305">
    <cfRule type="duplicateValues" dxfId="211" priority="124"/>
  </conditionalFormatting>
  <conditionalFormatting sqref="H308">
    <cfRule type="duplicateValues" dxfId="210" priority="137"/>
  </conditionalFormatting>
  <conditionalFormatting sqref="H310">
    <cfRule type="duplicateValues" dxfId="209" priority="123"/>
  </conditionalFormatting>
  <conditionalFormatting sqref="H311">
    <cfRule type="duplicateValues" dxfId="208" priority="122"/>
  </conditionalFormatting>
  <conditionalFormatting sqref="H312">
    <cfRule type="duplicateValues" dxfId="207" priority="133"/>
  </conditionalFormatting>
  <conditionalFormatting sqref="H318">
    <cfRule type="duplicateValues" dxfId="206" priority="136"/>
  </conditionalFormatting>
  <conditionalFormatting sqref="H320">
    <cfRule type="duplicateValues" dxfId="205" priority="125"/>
  </conditionalFormatting>
  <conditionalFormatting sqref="H321">
    <cfRule type="duplicateValues" dxfId="204" priority="128"/>
  </conditionalFormatting>
  <conditionalFormatting sqref="H330">
    <cfRule type="duplicateValues" dxfId="203" priority="134"/>
  </conditionalFormatting>
  <conditionalFormatting sqref="H331">
    <cfRule type="duplicateValues" dxfId="202" priority="130"/>
  </conditionalFormatting>
  <conditionalFormatting sqref="H336">
    <cfRule type="duplicateValues" dxfId="201" priority="109"/>
  </conditionalFormatting>
  <conditionalFormatting sqref="H358">
    <cfRule type="duplicateValues" dxfId="200" priority="110"/>
  </conditionalFormatting>
  <conditionalFormatting sqref="H359">
    <cfRule type="duplicateValues" dxfId="199" priority="111"/>
  </conditionalFormatting>
  <conditionalFormatting sqref="H362">
    <cfRule type="duplicateValues" dxfId="198" priority="105"/>
  </conditionalFormatting>
  <conditionalFormatting sqref="H376">
    <cfRule type="duplicateValues" dxfId="197" priority="114"/>
  </conditionalFormatting>
  <conditionalFormatting sqref="H378">
    <cfRule type="duplicateValues" dxfId="196" priority="113"/>
  </conditionalFormatting>
  <conditionalFormatting sqref="H381">
    <cfRule type="duplicateValues" dxfId="195" priority="119"/>
  </conditionalFormatting>
  <conditionalFormatting sqref="H392">
    <cfRule type="duplicateValues" dxfId="194" priority="100"/>
  </conditionalFormatting>
  <conditionalFormatting sqref="H431:H432 J431:J432">
    <cfRule type="duplicateValues" dxfId="193" priority="48"/>
    <cfRule type="duplicateValues" dxfId="192" priority="49"/>
  </conditionalFormatting>
  <conditionalFormatting sqref="H445:H446">
    <cfRule type="duplicateValues" dxfId="191" priority="28"/>
    <cfRule type="duplicateValues" dxfId="190" priority="27"/>
  </conditionalFormatting>
  <conditionalFormatting sqref="H455">
    <cfRule type="duplicateValues" dxfId="189" priority="82"/>
  </conditionalFormatting>
  <conditionalFormatting sqref="H456">
    <cfRule type="duplicateValues" dxfId="188" priority="81"/>
  </conditionalFormatting>
  <conditionalFormatting sqref="H457">
    <cfRule type="duplicateValues" dxfId="187" priority="15"/>
    <cfRule type="duplicateValues" dxfId="186" priority="16"/>
  </conditionalFormatting>
  <conditionalFormatting sqref="H458">
    <cfRule type="duplicateValues" dxfId="185" priority="19"/>
    <cfRule type="duplicateValues" dxfId="184" priority="20"/>
  </conditionalFormatting>
  <conditionalFormatting sqref="H459">
    <cfRule type="duplicateValues" dxfId="183" priority="24"/>
    <cfRule type="duplicateValues" dxfId="182" priority="23"/>
  </conditionalFormatting>
  <conditionalFormatting sqref="H463:H465">
    <cfRule type="duplicateValues" dxfId="181" priority="11"/>
    <cfRule type="duplicateValues" dxfId="180" priority="12"/>
  </conditionalFormatting>
  <conditionalFormatting sqref="H470">
    <cfRule type="duplicateValues" dxfId="179" priority="72"/>
  </conditionalFormatting>
  <conditionalFormatting sqref="H475">
    <cfRule type="duplicateValues" dxfId="178" priority="86"/>
  </conditionalFormatting>
  <conditionalFormatting sqref="H476">
    <cfRule type="duplicateValues" dxfId="177" priority="85"/>
  </conditionalFormatting>
  <conditionalFormatting sqref="H479">
    <cfRule type="duplicateValues" dxfId="176" priority="78"/>
  </conditionalFormatting>
  <conditionalFormatting sqref="H484">
    <cfRule type="duplicateValues" dxfId="175" priority="84"/>
  </conditionalFormatting>
  <conditionalFormatting sqref="H486">
    <cfRule type="duplicateValues" dxfId="174" priority="83"/>
  </conditionalFormatting>
  <conditionalFormatting sqref="H491">
    <cfRule type="duplicateValues" dxfId="173" priority="89"/>
  </conditionalFormatting>
  <conditionalFormatting sqref="H497">
    <cfRule type="duplicateValues" dxfId="172" priority="77"/>
  </conditionalFormatting>
  <conditionalFormatting sqref="H507">
    <cfRule type="duplicateValues" dxfId="171" priority="79"/>
  </conditionalFormatting>
  <conditionalFormatting sqref="H526">
    <cfRule type="duplicateValues" dxfId="170" priority="66"/>
  </conditionalFormatting>
  <conditionalFormatting sqref="H535">
    <cfRule type="duplicateValues" dxfId="169" priority="62"/>
  </conditionalFormatting>
  <conditionalFormatting sqref="H537">
    <cfRule type="duplicateValues" dxfId="168" priority="58"/>
  </conditionalFormatting>
  <conditionalFormatting sqref="H544">
    <cfRule type="duplicateValues" dxfId="167" priority="61"/>
  </conditionalFormatting>
  <conditionalFormatting sqref="H545:H546">
    <cfRule type="duplicateValues" dxfId="166" priority="59"/>
  </conditionalFormatting>
  <conditionalFormatting sqref="H547">
    <cfRule type="duplicateValues" dxfId="165" priority="60"/>
  </conditionalFormatting>
  <conditionalFormatting sqref="I100">
    <cfRule type="duplicateValues" dxfId="164" priority="154"/>
  </conditionalFormatting>
  <conditionalFormatting sqref="I137">
    <cfRule type="duplicateValues" dxfId="163" priority="53"/>
  </conditionalFormatting>
  <conditionalFormatting sqref="I165">
    <cfRule type="duplicateValues" dxfId="162" priority="216"/>
  </conditionalFormatting>
  <conditionalFormatting sqref="I170">
    <cfRule type="duplicateValues" dxfId="161" priority="198"/>
  </conditionalFormatting>
  <conditionalFormatting sqref="I172">
    <cfRule type="duplicateValues" dxfId="160" priority="51"/>
  </conditionalFormatting>
  <conditionalFormatting sqref="I173">
    <cfRule type="duplicateValues" dxfId="159" priority="194"/>
  </conditionalFormatting>
  <conditionalFormatting sqref="I175">
    <cfRule type="duplicateValues" dxfId="158" priority="192"/>
  </conditionalFormatting>
  <conditionalFormatting sqref="I183">
    <cfRule type="duplicateValues" dxfId="157" priority="190"/>
  </conditionalFormatting>
  <conditionalFormatting sqref="I184">
    <cfRule type="duplicateValues" dxfId="156" priority="189"/>
  </conditionalFormatting>
  <conditionalFormatting sqref="I186">
    <cfRule type="duplicateValues" dxfId="155" priority="187"/>
  </conditionalFormatting>
  <conditionalFormatting sqref="I194">
    <cfRule type="duplicateValues" dxfId="154" priority="185"/>
  </conditionalFormatting>
  <conditionalFormatting sqref="I196">
    <cfRule type="duplicateValues" dxfId="153" priority="183"/>
  </conditionalFormatting>
  <conditionalFormatting sqref="I197">
    <cfRule type="duplicateValues" dxfId="152" priority="181"/>
  </conditionalFormatting>
  <conditionalFormatting sqref="I198">
    <cfRule type="duplicateValues" dxfId="151" priority="179"/>
  </conditionalFormatting>
  <conditionalFormatting sqref="I206">
    <cfRule type="duplicateValues" dxfId="150" priority="177"/>
  </conditionalFormatting>
  <conditionalFormatting sqref="I207">
    <cfRule type="duplicateValues" dxfId="149" priority="175"/>
  </conditionalFormatting>
  <conditionalFormatting sqref="I208">
    <cfRule type="duplicateValues" dxfId="148" priority="173"/>
  </conditionalFormatting>
  <conditionalFormatting sqref="I226">
    <cfRule type="duplicateValues" dxfId="147" priority="171"/>
  </conditionalFormatting>
  <conditionalFormatting sqref="I230">
    <cfRule type="duplicateValues" dxfId="146" priority="169"/>
  </conditionalFormatting>
  <conditionalFormatting sqref="I231">
    <cfRule type="duplicateValues" dxfId="145" priority="167"/>
  </conditionalFormatting>
  <conditionalFormatting sqref="I463">
    <cfRule type="duplicateValues" dxfId="144" priority="8"/>
    <cfRule type="duplicateValues" dxfId="143" priority="7"/>
  </conditionalFormatting>
  <conditionalFormatting sqref="I464">
    <cfRule type="duplicateValues" dxfId="142" priority="6"/>
    <cfRule type="duplicateValues" dxfId="141" priority="5"/>
  </conditionalFormatting>
  <conditionalFormatting sqref="I465">
    <cfRule type="duplicateValues" dxfId="140" priority="3"/>
    <cfRule type="duplicateValues" dxfId="139" priority="4"/>
  </conditionalFormatting>
  <conditionalFormatting sqref="I445:J446">
    <cfRule type="duplicateValues" dxfId="138" priority="25"/>
    <cfRule type="duplicateValues" dxfId="137" priority="26"/>
  </conditionalFormatting>
  <conditionalFormatting sqref="I457:J457">
    <cfRule type="duplicateValues" dxfId="136" priority="13"/>
    <cfRule type="duplicateValues" dxfId="135" priority="14"/>
  </conditionalFormatting>
  <conditionalFormatting sqref="I458:J458">
    <cfRule type="duplicateValues" dxfId="134" priority="18"/>
    <cfRule type="duplicateValues" dxfId="133" priority="17"/>
  </conditionalFormatting>
  <conditionalFormatting sqref="I459:J459">
    <cfRule type="duplicateValues" dxfId="132" priority="22"/>
    <cfRule type="duplicateValues" dxfId="131" priority="21"/>
  </conditionalFormatting>
  <conditionalFormatting sqref="J5">
    <cfRule type="duplicateValues" dxfId="130" priority="156"/>
  </conditionalFormatting>
  <conditionalFormatting sqref="J6">
    <cfRule type="duplicateValues" dxfId="129" priority="155"/>
  </conditionalFormatting>
  <conditionalFormatting sqref="J21">
    <cfRule type="duplicateValues" dxfId="128" priority="230"/>
  </conditionalFormatting>
  <conditionalFormatting sqref="J51">
    <cfRule type="duplicateValues" dxfId="127" priority="2"/>
    <cfRule type="duplicateValues" dxfId="126" priority="1"/>
  </conditionalFormatting>
  <conditionalFormatting sqref="J57">
    <cfRule type="duplicateValues" dxfId="125" priority="223"/>
  </conditionalFormatting>
  <conditionalFormatting sqref="J64">
    <cfRule type="duplicateValues" dxfId="124" priority="158"/>
  </conditionalFormatting>
  <conditionalFormatting sqref="J73">
    <cfRule type="duplicateValues" dxfId="123" priority="229"/>
  </conditionalFormatting>
  <conditionalFormatting sqref="J83">
    <cfRule type="duplicateValues" dxfId="122" priority="159"/>
  </conditionalFormatting>
  <conditionalFormatting sqref="J86">
    <cfRule type="duplicateValues" dxfId="121" priority="224"/>
  </conditionalFormatting>
  <conditionalFormatting sqref="J100">
    <cfRule type="duplicateValues" dxfId="120" priority="153"/>
  </conditionalFormatting>
  <conditionalFormatting sqref="J101">
    <cfRule type="duplicateValues" dxfId="119" priority="225"/>
  </conditionalFormatting>
  <conditionalFormatting sqref="J125">
    <cfRule type="duplicateValues" dxfId="118" priority="221"/>
  </conditionalFormatting>
  <conditionalFormatting sqref="J126">
    <cfRule type="duplicateValues" dxfId="117" priority="228"/>
  </conditionalFormatting>
  <conditionalFormatting sqref="J136">
    <cfRule type="duplicateValues" dxfId="116" priority="204"/>
  </conditionalFormatting>
  <conditionalFormatting sqref="J137">
    <cfRule type="duplicateValues" dxfId="115" priority="52"/>
  </conditionalFormatting>
  <conditionalFormatting sqref="J145">
    <cfRule type="duplicateValues" dxfId="114" priority="214"/>
  </conditionalFormatting>
  <conditionalFormatting sqref="J165">
    <cfRule type="duplicateValues" dxfId="113" priority="215"/>
  </conditionalFormatting>
  <conditionalFormatting sqref="J170">
    <cfRule type="duplicateValues" dxfId="112" priority="197"/>
  </conditionalFormatting>
  <conditionalFormatting sqref="J172">
    <cfRule type="duplicateValues" dxfId="111" priority="50"/>
  </conditionalFormatting>
  <conditionalFormatting sqref="J173">
    <cfRule type="duplicateValues" dxfId="110" priority="193"/>
  </conditionalFormatting>
  <conditionalFormatting sqref="J175">
    <cfRule type="duplicateValues" dxfId="109" priority="191"/>
  </conditionalFormatting>
  <conditionalFormatting sqref="J179 J181">
    <cfRule type="duplicateValues" dxfId="108" priority="212"/>
  </conditionalFormatting>
  <conditionalFormatting sqref="J184">
    <cfRule type="duplicateValues" dxfId="107" priority="188"/>
  </conditionalFormatting>
  <conditionalFormatting sqref="J186">
    <cfRule type="duplicateValues" dxfId="106" priority="186"/>
  </conditionalFormatting>
  <conditionalFormatting sqref="J188">
    <cfRule type="duplicateValues" dxfId="105" priority="208"/>
  </conditionalFormatting>
  <conditionalFormatting sqref="J189">
    <cfRule type="duplicateValues" dxfId="104" priority="210"/>
  </conditionalFormatting>
  <conditionalFormatting sqref="J190">
    <cfRule type="duplicateValues" dxfId="103" priority="211"/>
  </conditionalFormatting>
  <conditionalFormatting sqref="J192">
    <cfRule type="duplicateValues" dxfId="102" priority="213"/>
  </conditionalFormatting>
  <conditionalFormatting sqref="J194">
    <cfRule type="duplicateValues" dxfId="101" priority="184"/>
  </conditionalFormatting>
  <conditionalFormatting sqref="J196">
    <cfRule type="duplicateValues" dxfId="100" priority="182"/>
  </conditionalFormatting>
  <conditionalFormatting sqref="J197">
    <cfRule type="duplicateValues" dxfId="99" priority="180"/>
  </conditionalFormatting>
  <conditionalFormatting sqref="J198">
    <cfRule type="duplicateValues" dxfId="98" priority="178"/>
  </conditionalFormatting>
  <conditionalFormatting sqref="J206">
    <cfRule type="duplicateValues" dxfId="97" priority="176"/>
  </conditionalFormatting>
  <conditionalFormatting sqref="J207">
    <cfRule type="duplicateValues" dxfId="96" priority="174"/>
  </conditionalFormatting>
  <conditionalFormatting sqref="J208">
    <cfRule type="duplicateValues" dxfId="95" priority="172"/>
  </conditionalFormatting>
  <conditionalFormatting sqref="J209:J211">
    <cfRule type="duplicateValues" dxfId="94" priority="209"/>
  </conditionalFormatting>
  <conditionalFormatting sqref="J216">
    <cfRule type="duplicateValues" dxfId="93" priority="205"/>
  </conditionalFormatting>
  <conditionalFormatting sqref="J219">
    <cfRule type="duplicateValues" dxfId="92" priority="151"/>
  </conditionalFormatting>
  <conditionalFormatting sqref="J226">
    <cfRule type="duplicateValues" dxfId="91" priority="170"/>
  </conditionalFormatting>
  <conditionalFormatting sqref="J230">
    <cfRule type="duplicateValues" dxfId="90" priority="168"/>
  </conditionalFormatting>
  <conditionalFormatting sqref="J231">
    <cfRule type="duplicateValues" dxfId="89" priority="166"/>
  </conditionalFormatting>
  <conditionalFormatting sqref="J233">
    <cfRule type="duplicateValues" dxfId="88" priority="1039"/>
  </conditionalFormatting>
  <conditionalFormatting sqref="J241">
    <cfRule type="duplicateValues" dxfId="87" priority="150"/>
  </conditionalFormatting>
  <conditionalFormatting sqref="J249">
    <cfRule type="duplicateValues" dxfId="86" priority="146"/>
  </conditionalFormatting>
  <conditionalFormatting sqref="J250">
    <cfRule type="duplicateValues" dxfId="85" priority="147"/>
  </conditionalFormatting>
  <conditionalFormatting sqref="J260">
    <cfRule type="duplicateValues" dxfId="84" priority="715"/>
    <cfRule type="duplicateValues" dxfId="83" priority="714"/>
  </conditionalFormatting>
  <conditionalFormatting sqref="J261">
    <cfRule type="duplicateValues" dxfId="82" priority="713"/>
  </conditionalFormatting>
  <conditionalFormatting sqref="J285">
    <cfRule type="duplicateValues" dxfId="81" priority="145"/>
  </conditionalFormatting>
  <conditionalFormatting sqref="J313">
    <cfRule type="duplicateValues" dxfId="80" priority="140"/>
  </conditionalFormatting>
  <conditionalFormatting sqref="J314">
    <cfRule type="duplicateValues" dxfId="79" priority="141"/>
  </conditionalFormatting>
  <conditionalFormatting sqref="J315">
    <cfRule type="duplicateValues" dxfId="78" priority="142"/>
  </conditionalFormatting>
  <conditionalFormatting sqref="J323">
    <cfRule type="duplicateValues" dxfId="77" priority="139"/>
  </conditionalFormatting>
  <conditionalFormatting sqref="J374:J375">
    <cfRule type="duplicateValues" dxfId="76" priority="121"/>
  </conditionalFormatting>
  <conditionalFormatting sqref="J381">
    <cfRule type="duplicateValues" dxfId="75" priority="120"/>
  </conditionalFormatting>
  <conditionalFormatting sqref="J386">
    <cfRule type="duplicateValues" dxfId="74" priority="106"/>
  </conditionalFormatting>
  <conditionalFormatting sqref="J387">
    <cfRule type="duplicateValues" dxfId="73" priority="101"/>
  </conditionalFormatting>
  <conditionalFormatting sqref="J389">
    <cfRule type="duplicateValues" dxfId="72" priority="57"/>
    <cfRule type="duplicateValues" dxfId="71" priority="56"/>
  </conditionalFormatting>
  <conditionalFormatting sqref="J390">
    <cfRule type="duplicateValues" dxfId="70" priority="108"/>
  </conditionalFormatting>
  <conditionalFormatting sqref="J414">
    <cfRule type="duplicateValues" dxfId="69" priority="117"/>
    <cfRule type="duplicateValues" dxfId="68" priority="118"/>
  </conditionalFormatting>
  <conditionalFormatting sqref="J431:J432">
    <cfRule type="duplicateValues" dxfId="67" priority="47"/>
  </conditionalFormatting>
  <conditionalFormatting sqref="J433">
    <cfRule type="duplicateValues" dxfId="66" priority="42"/>
  </conditionalFormatting>
  <conditionalFormatting sqref="J435">
    <cfRule type="duplicateValues" dxfId="65" priority="37"/>
  </conditionalFormatting>
  <conditionalFormatting sqref="J437">
    <cfRule type="duplicateValues" dxfId="64" priority="76"/>
  </conditionalFormatting>
  <conditionalFormatting sqref="J438">
    <cfRule type="duplicateValues" dxfId="63" priority="92"/>
  </conditionalFormatting>
  <conditionalFormatting sqref="J441">
    <cfRule type="duplicateValues" dxfId="62" priority="32"/>
  </conditionalFormatting>
  <conditionalFormatting sqref="J463:J465">
    <cfRule type="duplicateValues" dxfId="61" priority="9"/>
    <cfRule type="duplicateValues" dxfId="60" priority="10"/>
  </conditionalFormatting>
  <conditionalFormatting sqref="J482">
    <cfRule type="duplicateValues" dxfId="59" priority="88"/>
  </conditionalFormatting>
  <conditionalFormatting sqref="J483">
    <cfRule type="duplicateValues" dxfId="58" priority="87"/>
  </conditionalFormatting>
  <conditionalFormatting sqref="J504">
    <cfRule type="duplicateValues" dxfId="57" priority="93"/>
  </conditionalFormatting>
  <conditionalFormatting sqref="J510">
    <cfRule type="duplicateValues" dxfId="56" priority="1187"/>
  </conditionalFormatting>
  <conditionalFormatting sqref="J520">
    <cfRule type="duplicateValues" dxfId="55" priority="71"/>
  </conditionalFormatting>
  <conditionalFormatting sqref="J521">
    <cfRule type="duplicateValues" dxfId="54" priority="69"/>
  </conditionalFormatting>
  <conditionalFormatting sqref="J522">
    <cfRule type="duplicateValues" dxfId="53" priority="70"/>
  </conditionalFormatting>
  <conditionalFormatting sqref="J523">
    <cfRule type="duplicateValues" dxfId="52" priority="67"/>
  </conditionalFormatting>
  <conditionalFormatting sqref="J528">
    <cfRule type="duplicateValues" dxfId="51" priority="68"/>
  </conditionalFormatting>
  <conditionalFormatting sqref="J536">
    <cfRule type="duplicateValues" dxfId="50" priority="65"/>
  </conditionalFormatting>
  <conditionalFormatting sqref="J541">
    <cfRule type="duplicateValues" dxfId="49" priority="64"/>
  </conditionalFormatting>
  <conditionalFormatting sqref="J548:J549">
    <cfRule type="duplicateValues" dxfId="48" priority="63"/>
  </conditionalFormatting>
  <conditionalFormatting sqref="J551">
    <cfRule type="duplicateValues" dxfId="47" priority="1803"/>
  </conditionalFormatting>
  <conditionalFormatting sqref="J565">
    <cfRule type="duplicateValues" dxfId="46" priority="522"/>
  </conditionalFormatting>
  <conditionalFormatting sqref="J566">
    <cfRule type="duplicateValues" dxfId="45" priority="523"/>
  </conditionalFormatting>
  <conditionalFormatting sqref="J567">
    <cfRule type="duplicateValues" dxfId="44" priority="1822"/>
  </conditionalFormatting>
  <conditionalFormatting sqref="J571:J1048576 J1 J234:J238 J550">
    <cfRule type="duplicateValues" dxfId="43" priority="2217"/>
  </conditionalFormatting>
  <conditionalFormatting sqref="K119:K121">
    <cfRule type="duplicateValues" dxfId="42" priority="231"/>
    <cfRule type="duplicateValues" dxfId="41" priority="233"/>
    <cfRule type="duplicateValues" dxfId="40" priority="232"/>
  </conditionalFormatting>
  <conditionalFormatting sqref="K123">
    <cfRule type="duplicateValues" dxfId="39" priority="244"/>
    <cfRule type="duplicateValues" dxfId="38" priority="243"/>
    <cfRule type="duplicateValues" dxfId="37" priority="245"/>
  </conditionalFormatting>
  <conditionalFormatting sqref="K124">
    <cfRule type="duplicateValues" dxfId="36" priority="236"/>
    <cfRule type="duplicateValues" dxfId="35" priority="235"/>
    <cfRule type="duplicateValues" dxfId="34" priority="234"/>
  </conditionalFormatting>
  <conditionalFormatting sqref="K133">
    <cfRule type="duplicateValues" dxfId="33" priority="239"/>
    <cfRule type="duplicateValues" dxfId="32" priority="238"/>
    <cfRule type="duplicateValues" dxfId="31" priority="237"/>
  </conditionalFormatting>
  <conditionalFormatting sqref="K149">
    <cfRule type="duplicateValues" dxfId="30" priority="203"/>
  </conditionalFormatting>
  <conditionalFormatting sqref="K413">
    <cfRule type="duplicateValues" dxfId="29" priority="103"/>
    <cfRule type="duplicateValues" dxfId="28" priority="102"/>
    <cfRule type="duplicateValues" dxfId="27" priority="104"/>
  </conditionalFormatting>
  <conditionalFormatting sqref="K414">
    <cfRule type="duplicateValues" dxfId="26" priority="116"/>
    <cfRule type="duplicateValues" dxfId="25" priority="115"/>
  </conditionalFormatting>
  <conditionalFormatting sqref="K449">
    <cfRule type="duplicateValues" dxfId="24" priority="75"/>
    <cfRule type="duplicateValues" dxfId="23" priority="74"/>
    <cfRule type="duplicateValues" dxfId="22" priority="73"/>
  </conditionalFormatting>
  <conditionalFormatting sqref="K461">
    <cfRule type="duplicateValues" dxfId="21" priority="97"/>
    <cfRule type="duplicateValues" dxfId="20" priority="98"/>
    <cfRule type="duplicateValues" dxfId="19" priority="99"/>
  </conditionalFormatting>
  <conditionalFormatting sqref="K462">
    <cfRule type="duplicateValues" dxfId="18" priority="94"/>
    <cfRule type="duplicateValues" dxfId="17" priority="96"/>
    <cfRule type="duplicateValues" dxfId="16" priority="95"/>
  </conditionalFormatting>
  <conditionalFormatting sqref="O558">
    <cfRule type="duplicateValues" dxfId="15" priority="524"/>
  </conditionalFormatting>
  <conditionalFormatting sqref="P431:P432">
    <cfRule type="duplicateValues" dxfId="14" priority="46"/>
    <cfRule type="duplicateValues" dxfId="13" priority="45"/>
    <cfRule type="duplicateValues" dxfId="12" priority="44"/>
  </conditionalFormatting>
  <conditionalFormatting sqref="P433">
    <cfRule type="duplicateValues" dxfId="11" priority="41"/>
    <cfRule type="duplicateValues" dxfId="10" priority="40"/>
    <cfRule type="duplicateValues" dxfId="9" priority="39"/>
  </conditionalFormatting>
  <conditionalFormatting sqref="P435">
    <cfRule type="duplicateValues" dxfId="8" priority="34"/>
    <cfRule type="duplicateValues" dxfId="7" priority="36"/>
    <cfRule type="duplicateValues" dxfId="6" priority="35"/>
  </conditionalFormatting>
  <conditionalFormatting sqref="P441">
    <cfRule type="duplicateValues" dxfId="5" priority="29"/>
    <cfRule type="duplicateValues" dxfId="4" priority="30"/>
    <cfRule type="duplicateValues" dxfId="3" priority="31"/>
  </conditionalFormatting>
  <conditionalFormatting sqref="R341">
    <cfRule type="duplicateValues" dxfId="2" priority="539"/>
  </conditionalFormatting>
  <conditionalFormatting sqref="R455">
    <cfRule type="duplicateValues" dxfId="1" priority="529"/>
  </conditionalFormatting>
  <conditionalFormatting sqref="T342">
    <cfRule type="duplicateValues" dxfId="0" priority="50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69"/>
  <sheetViews>
    <sheetView zoomScale="70" zoomScaleNormal="70" workbookViewId="0">
      <selection activeCell="F21" sqref="F21"/>
    </sheetView>
  </sheetViews>
  <sheetFormatPr baseColWidth="10" defaultColWidth="9.19921875" defaultRowHeight="14"/>
  <cols>
    <col min="1" max="1" width="6.796875" customWidth="1"/>
    <col min="2" max="2" width="3.796875" customWidth="1"/>
    <col min="3" max="3" width="10.796875" customWidth="1"/>
    <col min="4" max="4" width="14.796875" style="18" customWidth="1"/>
    <col min="5" max="9" width="8.796875" customWidth="1"/>
    <col min="10" max="10" width="6.796875" customWidth="1"/>
    <col min="11" max="11" width="3.796875" customWidth="1"/>
    <col min="12" max="12" width="11" bestFit="1" customWidth="1"/>
    <col min="13" max="13" width="14.3984375" style="18" customWidth="1"/>
    <col min="14" max="18" width="8.796875" customWidth="1"/>
  </cols>
  <sheetData>
    <row r="1" spans="1:18" ht="30" customHeight="1" thickBot="1">
      <c r="A1" s="421" t="s">
        <v>228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3"/>
    </row>
    <row r="2" spans="1:18" ht="25" customHeight="1" thickBot="1">
      <c r="A2" s="424" t="s">
        <v>202</v>
      </c>
      <c r="B2" s="426" t="s">
        <v>195</v>
      </c>
      <c r="C2" s="418" t="s">
        <v>201</v>
      </c>
      <c r="D2" s="418" t="s">
        <v>203</v>
      </c>
      <c r="E2" s="27" t="s">
        <v>199</v>
      </c>
      <c r="F2" s="27" t="s">
        <v>196</v>
      </c>
      <c r="G2" s="27" t="s">
        <v>197</v>
      </c>
      <c r="H2" s="27" t="s">
        <v>198</v>
      </c>
      <c r="I2" s="27" t="s">
        <v>200</v>
      </c>
      <c r="J2" s="424" t="s">
        <v>202</v>
      </c>
      <c r="K2" s="426" t="s">
        <v>195</v>
      </c>
      <c r="L2" s="418" t="s">
        <v>201</v>
      </c>
      <c r="M2" s="418" t="s">
        <v>203</v>
      </c>
      <c r="N2" s="27" t="s">
        <v>199</v>
      </c>
      <c r="O2" s="27" t="s">
        <v>196</v>
      </c>
      <c r="P2" s="27" t="s">
        <v>197</v>
      </c>
      <c r="Q2" s="27" t="s">
        <v>198</v>
      </c>
      <c r="R2" s="27" t="s">
        <v>200</v>
      </c>
    </row>
    <row r="3" spans="1:18" ht="25" customHeight="1" thickBot="1">
      <c r="A3" s="425"/>
      <c r="B3" s="427"/>
      <c r="C3" s="420"/>
      <c r="D3" s="420"/>
      <c r="E3" s="27"/>
      <c r="F3" s="27"/>
      <c r="G3" s="27"/>
      <c r="H3" s="27"/>
      <c r="I3" s="27"/>
      <c r="J3" s="425"/>
      <c r="K3" s="427"/>
      <c r="L3" s="420"/>
      <c r="M3" s="420"/>
      <c r="N3" s="27"/>
      <c r="O3" s="27"/>
      <c r="P3" s="27"/>
      <c r="Q3" s="27"/>
      <c r="R3" s="27"/>
    </row>
    <row r="4" spans="1:18" ht="25" customHeight="1" thickBot="1">
      <c r="A4" s="418">
        <v>97</v>
      </c>
      <c r="B4" s="24" t="s">
        <v>206</v>
      </c>
      <c r="C4" s="26" t="str">
        <f>T(總名冊!J8)</f>
        <v>張宸愷</v>
      </c>
      <c r="D4" s="26" t="str">
        <f>T(總名冊!I8)</f>
        <v>資管三甲</v>
      </c>
      <c r="E4" s="10"/>
      <c r="F4" s="10"/>
      <c r="G4" s="10"/>
      <c r="H4" s="10"/>
      <c r="I4" s="10"/>
      <c r="J4" s="414">
        <v>125</v>
      </c>
      <c r="K4" s="24" t="s">
        <v>206</v>
      </c>
      <c r="L4" s="26" t="str">
        <f>T(總名冊!J29)</f>
        <v>石躍龍</v>
      </c>
      <c r="M4" s="26" t="str">
        <f>T(總名冊!I29)</f>
        <v>公行研一</v>
      </c>
      <c r="N4" s="10"/>
      <c r="O4" s="10"/>
      <c r="P4" s="10"/>
      <c r="Q4" s="10"/>
      <c r="R4" s="10"/>
    </row>
    <row r="5" spans="1:18" ht="25" customHeight="1" thickBot="1">
      <c r="A5" s="419"/>
      <c r="B5" s="24" t="s">
        <v>192</v>
      </c>
      <c r="C5" s="26" t="str">
        <f>T(總名冊!J9)</f>
        <v>陳樂奇</v>
      </c>
      <c r="D5" s="26" t="str">
        <f>T(總名冊!I9)</f>
        <v>資管三甲</v>
      </c>
      <c r="E5" s="25"/>
      <c r="F5" s="25"/>
      <c r="G5" s="25"/>
      <c r="H5" s="25"/>
      <c r="I5" s="25"/>
      <c r="J5" s="415"/>
      <c r="K5" s="24" t="s">
        <v>192</v>
      </c>
      <c r="L5" s="26" t="str">
        <f>T(總名冊!J30)</f>
        <v>尹秋池</v>
      </c>
      <c r="M5" s="26" t="str">
        <f>T(總名冊!I30)</f>
        <v>金融三甲</v>
      </c>
      <c r="N5" s="10"/>
      <c r="O5" s="10"/>
      <c r="P5" s="10"/>
      <c r="Q5" s="10"/>
      <c r="R5" s="10"/>
    </row>
    <row r="6" spans="1:18" ht="25" customHeight="1" thickBot="1">
      <c r="A6" s="420"/>
      <c r="B6" s="24" t="s">
        <v>207</v>
      </c>
      <c r="C6" s="26" t="str">
        <f>T(總名冊!J10)</f>
        <v>何易昕</v>
      </c>
      <c r="D6" s="26" t="str">
        <f>T(總名冊!I10)</f>
        <v>資管三甲</v>
      </c>
      <c r="E6" s="10"/>
      <c r="F6" s="10"/>
      <c r="G6" s="10"/>
      <c r="H6" s="10"/>
      <c r="I6" s="10"/>
      <c r="J6" s="416"/>
      <c r="K6" s="24" t="s">
        <v>207</v>
      </c>
      <c r="L6" s="26" t="str">
        <f>T(總名冊!J31)</f>
        <v>桑翌晨</v>
      </c>
      <c r="M6" s="26" t="str">
        <f>T(總名冊!I31)</f>
        <v xml:space="preserve">觀光三甲  </v>
      </c>
      <c r="N6" s="10"/>
      <c r="O6" s="10"/>
      <c r="P6" s="10"/>
      <c r="Q6" s="10"/>
      <c r="R6" s="10"/>
    </row>
    <row r="7" spans="1:18" ht="25" customHeight="1" thickBot="1">
      <c r="A7" s="414">
        <v>99</v>
      </c>
      <c r="B7" s="24" t="s">
        <v>206</v>
      </c>
      <c r="C7" s="26" t="str">
        <f>T(總名冊!J11)</f>
        <v>蘇煒翔</v>
      </c>
      <c r="D7" s="26" t="str">
        <f>T(總名冊!I11)</f>
        <v xml:space="preserve">品設一甲  </v>
      </c>
      <c r="E7" s="10"/>
      <c r="F7" s="10"/>
      <c r="G7" s="10"/>
      <c r="H7" s="10"/>
      <c r="I7" s="10"/>
      <c r="J7" s="414">
        <v>127</v>
      </c>
      <c r="K7" s="24" t="s">
        <v>206</v>
      </c>
      <c r="L7" s="26" t="str">
        <f>T(總名冊!J158)</f>
        <v>NGUYEN PHU THINH</v>
      </c>
      <c r="M7" s="26" t="str">
        <f>T(總名冊!I158)</f>
        <v>資訊學程一</v>
      </c>
      <c r="N7" s="10"/>
      <c r="O7" s="10"/>
      <c r="P7" s="10"/>
      <c r="Q7" s="10"/>
      <c r="R7" s="10"/>
    </row>
    <row r="8" spans="1:18" ht="25" customHeight="1" thickBot="1">
      <c r="A8" s="415"/>
      <c r="B8" s="24" t="s">
        <v>192</v>
      </c>
      <c r="C8" s="26" t="str">
        <f>T(總名冊!J12)</f>
        <v>林鈺博</v>
      </c>
      <c r="D8" s="26" t="str">
        <f>T(總名冊!I12)</f>
        <v xml:space="preserve">資管一丙  </v>
      </c>
      <c r="E8" s="10"/>
      <c r="F8" s="10"/>
      <c r="G8" s="10"/>
      <c r="H8" s="10"/>
      <c r="I8" s="10"/>
      <c r="J8" s="415"/>
      <c r="K8" s="24" t="s">
        <v>192</v>
      </c>
      <c r="L8" s="26" t="str">
        <f>T(總名冊!J134)</f>
        <v>村田瑛斗</v>
      </c>
      <c r="M8" s="26" t="str">
        <f>T(總名冊!I134)</f>
        <v>應日研一</v>
      </c>
      <c r="N8" s="10"/>
      <c r="O8" s="10"/>
      <c r="P8" s="10"/>
      <c r="Q8" s="10"/>
      <c r="R8" s="10"/>
    </row>
    <row r="9" spans="1:18" ht="25" customHeight="1" thickBot="1">
      <c r="A9" s="416"/>
      <c r="B9" s="24" t="s">
        <v>207</v>
      </c>
      <c r="C9" s="26" t="str">
        <f>T(總名冊!J13)</f>
        <v>郭廷祐</v>
      </c>
      <c r="D9" s="26" t="str">
        <f>T(總名冊!I13)</f>
        <v xml:space="preserve">資管一甲  </v>
      </c>
      <c r="E9" s="10"/>
      <c r="F9" s="10"/>
      <c r="G9" s="10"/>
      <c r="H9" s="10"/>
      <c r="I9" s="10"/>
      <c r="J9" s="416"/>
      <c r="K9" s="24" t="s">
        <v>207</v>
      </c>
      <c r="L9" s="26" t="str">
        <f>T(總名冊!J34)</f>
        <v>周凡恩</v>
      </c>
      <c r="M9" s="26" t="str">
        <f>T(總名冊!I34)</f>
        <v>建築二甲</v>
      </c>
      <c r="N9" s="10"/>
      <c r="O9" s="10"/>
      <c r="P9" s="10"/>
      <c r="Q9" s="10"/>
      <c r="R9" s="10"/>
    </row>
    <row r="10" spans="1:18" ht="25" customHeight="1" thickBot="1">
      <c r="A10" s="414">
        <v>101</v>
      </c>
      <c r="B10" s="24" t="s">
        <v>206</v>
      </c>
      <c r="C10" s="26" t="str">
        <f>T(總名冊!J14)</f>
        <v>健管室</v>
      </c>
      <c r="D10" s="26" t="str">
        <f>T(總名冊!I14)</f>
        <v/>
      </c>
      <c r="E10" s="10"/>
      <c r="F10" s="10"/>
      <c r="G10" s="10"/>
      <c r="H10" s="10"/>
      <c r="I10" s="10"/>
      <c r="J10" s="414">
        <v>129</v>
      </c>
      <c r="K10" s="24" t="s">
        <v>206</v>
      </c>
      <c r="L10" s="26" t="str">
        <f>T(總名冊!J35)</f>
        <v>白浩宇</v>
      </c>
      <c r="M10" s="26" t="str">
        <f>T(總名冊!I35)</f>
        <v xml:space="preserve">觀光三甲  </v>
      </c>
      <c r="N10" s="10"/>
      <c r="O10" s="10"/>
      <c r="P10" s="10"/>
      <c r="Q10" s="10"/>
      <c r="R10" s="10"/>
    </row>
    <row r="11" spans="1:18" ht="25" customHeight="1" thickBot="1">
      <c r="A11" s="415"/>
      <c r="B11" s="24" t="s">
        <v>192</v>
      </c>
      <c r="C11" s="26" t="str">
        <f>T(總名冊!J15)</f>
        <v>健管室</v>
      </c>
      <c r="D11" s="26" t="str">
        <f>T(總名冊!I15)</f>
        <v/>
      </c>
      <c r="E11" s="10"/>
      <c r="F11" s="10"/>
      <c r="G11" s="10"/>
      <c r="H11" s="10"/>
      <c r="I11" s="10"/>
      <c r="J11" s="415"/>
      <c r="K11" s="24" t="s">
        <v>192</v>
      </c>
      <c r="L11" s="26" t="str">
        <f>T(總名冊!J135)</f>
        <v>蘇杰</v>
      </c>
      <c r="M11" s="26" t="str">
        <f>T(總名冊!I135)</f>
        <v>外交學程一</v>
      </c>
      <c r="N11" s="10"/>
      <c r="O11" s="10"/>
      <c r="P11" s="10"/>
      <c r="Q11" s="10"/>
      <c r="R11" s="10"/>
    </row>
    <row r="12" spans="1:18" ht="25" customHeight="1" thickBot="1">
      <c r="A12" s="416"/>
      <c r="B12" s="24" t="s">
        <v>207</v>
      </c>
      <c r="C12" s="26" t="str">
        <f>T(總名冊!J16)</f>
        <v>健管室</v>
      </c>
      <c r="D12" s="26" t="str">
        <f>T(總名冊!I16)</f>
        <v/>
      </c>
      <c r="E12" s="10"/>
      <c r="F12" s="10"/>
      <c r="G12" s="10"/>
      <c r="H12" s="10"/>
      <c r="I12" s="10"/>
      <c r="J12" s="416"/>
      <c r="K12" s="24" t="s">
        <v>207</v>
      </c>
      <c r="L12" s="26" t="str">
        <f>T(總名冊!J37)</f>
        <v>盧建華</v>
      </c>
      <c r="M12" s="26" t="str">
        <f>T(總名冊!I37)</f>
        <v xml:space="preserve">觀光三甲  </v>
      </c>
      <c r="N12" s="10"/>
      <c r="O12" s="10"/>
      <c r="P12" s="10"/>
      <c r="Q12" s="10"/>
      <c r="R12" s="10"/>
    </row>
    <row r="13" spans="1:18" ht="25" customHeight="1" thickBot="1">
      <c r="A13" s="414">
        <v>103</v>
      </c>
      <c r="B13" s="24" t="s">
        <v>206</v>
      </c>
      <c r="C13" s="26" t="str">
        <f>T(總名冊!J17)</f>
        <v>王秉淳</v>
      </c>
      <c r="D13" s="26" t="str">
        <f>T(總名冊!I17)</f>
        <v xml:space="preserve">資工一甲  </v>
      </c>
      <c r="E13" s="10"/>
      <c r="F13" s="10"/>
      <c r="G13" s="10"/>
      <c r="H13" s="10"/>
      <c r="I13" s="10"/>
      <c r="J13" s="414">
        <v>131</v>
      </c>
      <c r="K13" s="24" t="s">
        <v>206</v>
      </c>
      <c r="L13" s="26" t="str">
        <f>T(總名冊!J38)</f>
        <v>李智銳</v>
      </c>
      <c r="M13" s="26" t="str">
        <f>T(總名冊!I38)</f>
        <v>電機三甲</v>
      </c>
      <c r="N13" s="10"/>
      <c r="O13" s="10"/>
      <c r="P13" s="10"/>
      <c r="Q13" s="10"/>
      <c r="R13" s="10"/>
    </row>
    <row r="14" spans="1:18" ht="25" customHeight="1" thickBot="1">
      <c r="A14" s="415"/>
      <c r="B14" s="24" t="s">
        <v>192</v>
      </c>
      <c r="C14" s="26" t="str">
        <f>T(總名冊!J18)</f>
        <v>鍾智峰</v>
      </c>
      <c r="D14" s="26" t="str">
        <f>T(總名冊!I18)</f>
        <v xml:space="preserve">餐旅一甲  </v>
      </c>
      <c r="E14" s="10"/>
      <c r="F14" s="10"/>
      <c r="G14" s="10"/>
      <c r="H14" s="10"/>
      <c r="I14" s="10"/>
      <c r="J14" s="415"/>
      <c r="K14" s="24" t="s">
        <v>192</v>
      </c>
      <c r="L14" s="26" t="str">
        <f>T(總名冊!J39)</f>
        <v>傅貞豪</v>
      </c>
      <c r="M14" s="26" t="str">
        <f>T(總名冊!I39)</f>
        <v>數媒二甲</v>
      </c>
      <c r="N14" s="10"/>
      <c r="O14" s="10"/>
      <c r="P14" s="10"/>
      <c r="Q14" s="10"/>
      <c r="R14" s="10"/>
    </row>
    <row r="15" spans="1:18" ht="25" customHeight="1" thickBot="1">
      <c r="A15" s="416"/>
      <c r="B15" s="24" t="s">
        <v>207</v>
      </c>
      <c r="C15" s="26" t="str">
        <f>T(總名冊!J19)</f>
        <v>楊宇紘</v>
      </c>
      <c r="D15" s="26" t="str">
        <f>T(總名冊!I19)</f>
        <v xml:space="preserve">資工一甲  </v>
      </c>
      <c r="E15" s="10"/>
      <c r="F15" s="10"/>
      <c r="G15" s="10"/>
      <c r="H15" s="10"/>
      <c r="I15" s="10"/>
      <c r="J15" s="416"/>
      <c r="K15" s="24" t="s">
        <v>207</v>
      </c>
      <c r="L15" s="26" t="str">
        <f>T(總名冊!J40)</f>
        <v>李宇君</v>
      </c>
      <c r="M15" s="26" t="str">
        <f>T(總名冊!I40)</f>
        <v>數媒二甲</v>
      </c>
      <c r="N15" s="10"/>
      <c r="O15" s="10"/>
      <c r="P15" s="10"/>
      <c r="Q15" s="10"/>
      <c r="R15" s="10"/>
    </row>
    <row r="16" spans="1:18" ht="25" customHeight="1" thickBot="1">
      <c r="A16" s="414">
        <v>105</v>
      </c>
      <c r="B16" s="24" t="s">
        <v>206</v>
      </c>
      <c r="C16" s="26" t="str">
        <f>T(總名冊!J20)</f>
        <v>馬弘儒</v>
      </c>
      <c r="D16" s="26" t="str">
        <f>T(總名冊!I20)</f>
        <v xml:space="preserve">資工一甲  </v>
      </c>
      <c r="E16" s="10"/>
      <c r="F16" s="10"/>
      <c r="G16" s="10"/>
      <c r="H16" s="10"/>
      <c r="I16" s="10"/>
      <c r="J16" s="414">
        <v>133</v>
      </c>
      <c r="K16" s="24" t="s">
        <v>206</v>
      </c>
      <c r="L16" s="26" t="str">
        <f>T(總名冊!J41)</f>
        <v>李坤隆</v>
      </c>
      <c r="M16" s="26" t="str">
        <f>T(總名冊!I41)</f>
        <v xml:space="preserve">資管三乙  </v>
      </c>
      <c r="N16" s="10"/>
      <c r="O16" s="10"/>
      <c r="P16" s="10"/>
      <c r="Q16" s="10"/>
      <c r="R16" s="10"/>
    </row>
    <row r="17" spans="1:18" ht="25" customHeight="1" thickBot="1">
      <c r="A17" s="415"/>
      <c r="B17" s="24" t="s">
        <v>192</v>
      </c>
      <c r="C17" s="26" t="str">
        <f>T(總名冊!J21)</f>
        <v>徐靖儒</v>
      </c>
      <c r="D17" s="26" t="str">
        <f>T(總名冊!I21)</f>
        <v xml:space="preserve">資管四甲  </v>
      </c>
      <c r="E17" s="10"/>
      <c r="F17" s="10"/>
      <c r="G17" s="10"/>
      <c r="H17" s="10"/>
      <c r="I17" s="10"/>
      <c r="J17" s="415"/>
      <c r="K17" s="24" t="s">
        <v>192</v>
      </c>
      <c r="L17" s="26" t="str">
        <f>T(總名冊!J42)</f>
        <v>林皇觀</v>
      </c>
      <c r="M17" s="26" t="str">
        <f>T(總名冊!I42)</f>
        <v xml:space="preserve">醫工一甲  </v>
      </c>
      <c r="N17" s="10"/>
      <c r="O17" s="10"/>
      <c r="P17" s="10"/>
      <c r="Q17" s="10"/>
      <c r="R17" s="10"/>
    </row>
    <row r="18" spans="1:18" ht="25" customHeight="1" thickBot="1">
      <c r="A18" s="416"/>
      <c r="B18" s="24" t="s">
        <v>207</v>
      </c>
      <c r="C18" s="26" t="str">
        <f>T(總名冊!J247)</f>
        <v>王俊霖</v>
      </c>
      <c r="D18" s="26" t="str">
        <f>T(總名冊!I247)</f>
        <v>電機二丁</v>
      </c>
      <c r="E18" s="10"/>
      <c r="F18" s="10"/>
      <c r="G18" s="10"/>
      <c r="H18" s="10"/>
      <c r="I18" s="10"/>
      <c r="J18" s="416"/>
      <c r="K18" s="24" t="s">
        <v>207</v>
      </c>
      <c r="L18" s="26" t="e">
        <f>T(總名冊!#REF!)</f>
        <v>#REF!</v>
      </c>
      <c r="M18" s="26" t="e">
        <f>T(總名冊!#REF!)</f>
        <v>#REF!</v>
      </c>
      <c r="N18" s="25"/>
      <c r="O18" s="25"/>
      <c r="P18" s="25"/>
      <c r="Q18" s="25"/>
      <c r="R18" s="25"/>
    </row>
    <row r="19" spans="1:18" ht="25" customHeight="1" thickBot="1">
      <c r="A19" s="414">
        <v>107</v>
      </c>
      <c r="B19" s="24" t="s">
        <v>206</v>
      </c>
      <c r="C19" s="26" t="str">
        <f>T(總名冊!J23)</f>
        <v>陳奕棋</v>
      </c>
      <c r="D19" s="26" t="str">
        <f>T(總名冊!I23)</f>
        <v xml:space="preserve">生科一甲  </v>
      </c>
      <c r="E19" s="10"/>
      <c r="F19" s="10"/>
      <c r="G19" s="10"/>
      <c r="H19" s="10"/>
      <c r="I19" s="10"/>
      <c r="J19" s="414">
        <v>135</v>
      </c>
      <c r="K19" s="24" t="s">
        <v>206</v>
      </c>
      <c r="L19" s="26" t="e">
        <f>T(總名冊!#REF!)</f>
        <v>#REF!</v>
      </c>
      <c r="M19" s="26" t="e">
        <f>T(總名冊!#REF!)</f>
        <v>#REF!</v>
      </c>
      <c r="N19" s="10"/>
      <c r="O19" s="10"/>
      <c r="P19" s="10"/>
      <c r="Q19" s="10"/>
      <c r="R19" s="10"/>
    </row>
    <row r="20" spans="1:18" ht="25" customHeight="1" thickBot="1">
      <c r="A20" s="415"/>
      <c r="B20" s="24" t="s">
        <v>192</v>
      </c>
      <c r="C20" s="26" t="str">
        <f>T(總名冊!J24)</f>
        <v>吳承啟</v>
      </c>
      <c r="D20" s="26" t="str">
        <f>T(總名冊!I24)</f>
        <v xml:space="preserve">休憩一甲  </v>
      </c>
      <c r="E20" s="10"/>
      <c r="F20" s="10"/>
      <c r="G20" s="10"/>
      <c r="H20" s="10"/>
      <c r="I20" s="10"/>
      <c r="J20" s="415"/>
      <c r="K20" s="24" t="s">
        <v>192</v>
      </c>
      <c r="L20" s="26" t="str">
        <f>T(總名冊!J43)</f>
        <v>高健熙</v>
      </c>
      <c r="M20" s="26" t="str">
        <f>T(總名冊!I43)</f>
        <v xml:space="preserve">醫管一甲  </v>
      </c>
      <c r="N20" s="10"/>
      <c r="O20" s="10"/>
      <c r="P20" s="10"/>
      <c r="Q20" s="10"/>
      <c r="R20" s="10"/>
    </row>
    <row r="21" spans="1:18" ht="25" customHeight="1" thickBot="1">
      <c r="A21" s="416"/>
      <c r="B21" s="24" t="s">
        <v>207</v>
      </c>
      <c r="C21" s="26" t="str">
        <f>T(總名冊!J25)</f>
        <v>郭昱暐</v>
      </c>
      <c r="D21" s="26" t="str">
        <f>T(總名冊!I25)</f>
        <v xml:space="preserve">觀光三甲  </v>
      </c>
      <c r="E21" s="10"/>
      <c r="F21" s="10"/>
      <c r="G21" s="10"/>
      <c r="H21" s="10"/>
      <c r="I21" s="10"/>
      <c r="J21" s="416"/>
      <c r="K21" s="24" t="s">
        <v>207</v>
      </c>
      <c r="L21" s="26" t="str">
        <f>T(總名冊!J44)</f>
        <v>俞競航</v>
      </c>
      <c r="M21" s="26" t="str">
        <f>T(總名冊!I44)</f>
        <v>數媒二甲</v>
      </c>
      <c r="N21" s="10"/>
      <c r="O21" s="10"/>
      <c r="P21" s="10"/>
      <c r="Q21" s="10"/>
      <c r="R21" s="10"/>
    </row>
    <row r="22" spans="1:18" ht="25" customHeight="1" thickBot="1">
      <c r="A22" s="414">
        <v>109</v>
      </c>
      <c r="B22" s="24" t="s">
        <v>206</v>
      </c>
      <c r="C22" s="26" t="str">
        <f>T(總名冊!J26)</f>
        <v>蕭亦綸</v>
      </c>
      <c r="D22" s="26" t="str">
        <f>T(總名冊!I26)</f>
        <v xml:space="preserve">休憩一甲  </v>
      </c>
      <c r="E22" s="10"/>
      <c r="F22" s="10"/>
      <c r="G22" s="10"/>
      <c r="H22" s="10"/>
      <c r="I22" s="10"/>
      <c r="J22" s="417">
        <v>137</v>
      </c>
      <c r="K22" s="24" t="s">
        <v>206</v>
      </c>
      <c r="L22" s="26" t="str">
        <f>T(總名冊!J45)</f>
        <v>張海波</v>
      </c>
      <c r="M22" s="26" t="str">
        <f>T(總名冊!I45)</f>
        <v>數媒二甲</v>
      </c>
      <c r="N22" s="10"/>
      <c r="O22" s="10"/>
      <c r="P22" s="10"/>
      <c r="Q22" s="10"/>
      <c r="R22" s="10"/>
    </row>
    <row r="23" spans="1:18" ht="25" customHeight="1" thickBot="1">
      <c r="A23" s="415"/>
      <c r="B23" s="24" t="s">
        <v>192</v>
      </c>
      <c r="C23" s="26" t="str">
        <f>T(總名冊!J27)</f>
        <v>李偉綸</v>
      </c>
      <c r="D23" s="26" t="str">
        <f>T(總名冊!I27)</f>
        <v xml:space="preserve">休憩一甲  </v>
      </c>
      <c r="E23" s="10"/>
      <c r="F23" s="10"/>
      <c r="G23" s="10"/>
      <c r="H23" s="10"/>
      <c r="I23" s="10"/>
      <c r="J23" s="417"/>
      <c r="K23" s="24" t="s">
        <v>192</v>
      </c>
      <c r="L23" s="26" t="str">
        <f>T(總名冊!J46)</f>
        <v>熊  輝</v>
      </c>
      <c r="M23" s="26" t="str">
        <f>T(總名冊!I46)</f>
        <v>數媒二甲</v>
      </c>
      <c r="N23" s="10"/>
      <c r="O23" s="10"/>
      <c r="P23" s="10"/>
      <c r="Q23" s="10"/>
      <c r="R23" s="10"/>
    </row>
    <row r="24" spans="1:18" ht="25" customHeight="1" thickBot="1">
      <c r="A24" s="416"/>
      <c r="B24" s="24" t="s">
        <v>207</v>
      </c>
      <c r="C24" s="26" t="str">
        <f>T(總名冊!J28)</f>
        <v>吳建勳</v>
      </c>
      <c r="D24" s="26" t="str">
        <f>T(總名冊!I28)</f>
        <v xml:space="preserve">餐旅一甲  </v>
      </c>
      <c r="E24" s="10"/>
      <c r="F24" s="10"/>
      <c r="G24" s="10"/>
      <c r="H24" s="10"/>
      <c r="I24" s="10"/>
      <c r="J24" s="417"/>
      <c r="K24" s="24" t="s">
        <v>207</v>
      </c>
      <c r="L24" s="26" t="e">
        <f>T(總名冊!#REF!)</f>
        <v>#REF!</v>
      </c>
      <c r="M24" s="26" t="e">
        <f>T(總名冊!#REF!)</f>
        <v>#REF!</v>
      </c>
      <c r="N24" s="10"/>
      <c r="O24" s="10"/>
      <c r="P24" s="10"/>
      <c r="Q24" s="10"/>
      <c r="R24" s="10"/>
    </row>
    <row r="25" spans="1:18" ht="19" customHeight="1"/>
    <row r="26" spans="1:18" ht="19" customHeight="1"/>
    <row r="27" spans="1:18" ht="19" customHeight="1"/>
    <row r="28" spans="1:18" ht="19" customHeight="1"/>
    <row r="29" spans="1:18" ht="19" customHeight="1"/>
    <row r="30" spans="1:18" ht="19" customHeight="1"/>
    <row r="31" spans="1:18" ht="19" customHeight="1"/>
    <row r="32" spans="1:18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6" ht="4.5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</sheetData>
  <mergeCells count="23">
    <mergeCell ref="A1:R1"/>
    <mergeCell ref="A2:A3"/>
    <mergeCell ref="B2:B3"/>
    <mergeCell ref="C2:C3"/>
    <mergeCell ref="D2:D3"/>
    <mergeCell ref="J2:J3"/>
    <mergeCell ref="K2:K3"/>
    <mergeCell ref="L2:L3"/>
    <mergeCell ref="M2:M3"/>
    <mergeCell ref="A4:A6"/>
    <mergeCell ref="J4:J6"/>
    <mergeCell ref="A7:A9"/>
    <mergeCell ref="J7:J9"/>
    <mergeCell ref="A10:A12"/>
    <mergeCell ref="J10:J12"/>
    <mergeCell ref="A22:A24"/>
    <mergeCell ref="J22:J24"/>
    <mergeCell ref="A13:A15"/>
    <mergeCell ref="J13:J15"/>
    <mergeCell ref="A16:A18"/>
    <mergeCell ref="J16:J18"/>
    <mergeCell ref="A19:A21"/>
    <mergeCell ref="J19:J21"/>
  </mergeCells>
  <phoneticPr fontId="5" type="noConversion"/>
  <printOptions horizontalCentered="1" verticalCentered="1"/>
  <pageMargins left="0.11811023622047245" right="0.11811023622047245" top="0.35433070866141736" bottom="0.15748031496062992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69"/>
  <sheetViews>
    <sheetView zoomScale="70" zoomScaleNormal="70" workbookViewId="0">
      <selection activeCell="F21" sqref="F21"/>
    </sheetView>
  </sheetViews>
  <sheetFormatPr baseColWidth="10" defaultColWidth="9.19921875" defaultRowHeight="14"/>
  <cols>
    <col min="1" max="1" width="6.796875" customWidth="1"/>
    <col min="2" max="2" width="3.796875" customWidth="1"/>
    <col min="3" max="3" width="10.796875" customWidth="1"/>
    <col min="4" max="4" width="17.796875" style="18" bestFit="1" customWidth="1"/>
    <col min="5" max="9" width="8.796875" customWidth="1"/>
    <col min="10" max="10" width="6.796875" customWidth="1"/>
    <col min="11" max="11" width="3.796875" customWidth="1"/>
    <col min="12" max="12" width="10.796875" customWidth="1"/>
    <col min="13" max="13" width="17.796875" style="18" bestFit="1" customWidth="1"/>
    <col min="14" max="18" width="8.796875" customWidth="1"/>
  </cols>
  <sheetData>
    <row r="1" spans="1:18" ht="30" customHeight="1" thickBot="1">
      <c r="A1" s="421" t="s">
        <v>208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3"/>
    </row>
    <row r="2" spans="1:18" ht="25" customHeight="1" thickBot="1">
      <c r="A2" s="424" t="s">
        <v>209</v>
      </c>
      <c r="B2" s="426" t="s">
        <v>195</v>
      </c>
      <c r="C2" s="418" t="s">
        <v>201</v>
      </c>
      <c r="D2" s="418" t="s">
        <v>203</v>
      </c>
      <c r="E2" s="27" t="s">
        <v>199</v>
      </c>
      <c r="F2" s="27" t="s">
        <v>196</v>
      </c>
      <c r="G2" s="27" t="s">
        <v>197</v>
      </c>
      <c r="H2" s="27" t="s">
        <v>198</v>
      </c>
      <c r="I2" s="27" t="s">
        <v>200</v>
      </c>
      <c r="J2" s="424" t="s">
        <v>209</v>
      </c>
      <c r="K2" s="426" t="s">
        <v>195</v>
      </c>
      <c r="L2" s="418" t="s">
        <v>201</v>
      </c>
      <c r="M2" s="418" t="s">
        <v>203</v>
      </c>
      <c r="N2" s="27" t="s">
        <v>199</v>
      </c>
      <c r="O2" s="27" t="s">
        <v>196</v>
      </c>
      <c r="P2" s="27" t="s">
        <v>197</v>
      </c>
      <c r="Q2" s="27" t="s">
        <v>198</v>
      </c>
      <c r="R2" s="27" t="s">
        <v>200</v>
      </c>
    </row>
    <row r="3" spans="1:18" ht="25" customHeight="1" thickBot="1">
      <c r="A3" s="425"/>
      <c r="B3" s="427"/>
      <c r="C3" s="420"/>
      <c r="D3" s="420"/>
      <c r="E3" s="27"/>
      <c r="F3" s="27"/>
      <c r="G3" s="27"/>
      <c r="H3" s="27"/>
      <c r="I3" s="27"/>
      <c r="J3" s="425"/>
      <c r="K3" s="427"/>
      <c r="L3" s="420"/>
      <c r="M3" s="420"/>
      <c r="N3" s="27"/>
      <c r="O3" s="27"/>
      <c r="P3" s="27"/>
      <c r="Q3" s="27"/>
      <c r="R3" s="27"/>
    </row>
    <row r="4" spans="1:18" ht="25" customHeight="1" thickBot="1">
      <c r="A4" s="418">
        <v>97</v>
      </c>
      <c r="B4" s="24" t="s">
        <v>206</v>
      </c>
      <c r="C4" s="26" t="str">
        <f>T(總名冊!J48)</f>
        <v>林健楷</v>
      </c>
      <c r="D4" s="26" t="str">
        <f>T(總名冊!I48)</f>
        <v xml:space="preserve">商設二乙  </v>
      </c>
      <c r="E4" s="10"/>
      <c r="F4" s="10"/>
      <c r="G4" s="10"/>
      <c r="H4" s="10"/>
      <c r="I4" s="10"/>
      <c r="J4" s="414">
        <v>125</v>
      </c>
      <c r="K4" s="24" t="s">
        <v>206</v>
      </c>
      <c r="L4" s="26" t="str">
        <f>T(總名冊!J69)</f>
        <v>劉得均</v>
      </c>
      <c r="M4" s="26" t="str">
        <f>T(總名冊!I69)</f>
        <v xml:space="preserve">商設一乙  </v>
      </c>
      <c r="N4" s="10"/>
      <c r="O4" s="10"/>
      <c r="P4" s="10"/>
      <c r="Q4" s="10"/>
      <c r="R4" s="10"/>
    </row>
    <row r="5" spans="1:18" ht="25" customHeight="1" thickBot="1">
      <c r="A5" s="419"/>
      <c r="B5" s="24" t="s">
        <v>192</v>
      </c>
      <c r="C5" s="26" t="str">
        <f>T(總名冊!J49)</f>
        <v>王威勝</v>
      </c>
      <c r="D5" s="26" t="str">
        <f>T(總名冊!I49)</f>
        <v xml:space="preserve">心理一乙  </v>
      </c>
      <c r="E5" s="25"/>
      <c r="F5" s="25"/>
      <c r="G5" s="25"/>
      <c r="H5" s="25"/>
      <c r="I5" s="25"/>
      <c r="J5" s="415"/>
      <c r="K5" s="24" t="s">
        <v>192</v>
      </c>
      <c r="L5" s="26" t="str">
        <f>T(總名冊!J70)</f>
        <v>吳佑嘉</v>
      </c>
      <c r="M5" s="26" t="str">
        <f>T(總名冊!I70)</f>
        <v xml:space="preserve">品設一乙  </v>
      </c>
      <c r="N5" s="10"/>
      <c r="O5" s="10"/>
      <c r="P5" s="10"/>
      <c r="Q5" s="10"/>
      <c r="R5" s="10"/>
    </row>
    <row r="6" spans="1:18" ht="25" customHeight="1" thickBot="1">
      <c r="A6" s="420"/>
      <c r="B6" s="24" t="s">
        <v>207</v>
      </c>
      <c r="C6" s="26" t="str">
        <f>T(總名冊!J50)</f>
        <v>蘇昱銘</v>
      </c>
      <c r="D6" s="26" t="str">
        <f>T(總名冊!I50)</f>
        <v xml:space="preserve">人智一乙  </v>
      </c>
      <c r="E6" s="10"/>
      <c r="F6" s="10"/>
      <c r="G6" s="10"/>
      <c r="H6" s="10"/>
      <c r="I6" s="10"/>
      <c r="J6" s="416"/>
      <c r="K6" s="24" t="s">
        <v>207</v>
      </c>
      <c r="L6" s="26" t="str">
        <f>T(總名冊!J71)</f>
        <v>麥張彥朋</v>
      </c>
      <c r="M6" s="26" t="str">
        <f>T(總名冊!I71)</f>
        <v>電機一甲</v>
      </c>
      <c r="N6" s="10"/>
      <c r="O6" s="10"/>
      <c r="P6" s="10"/>
      <c r="Q6" s="10"/>
      <c r="R6" s="10"/>
    </row>
    <row r="7" spans="1:18" ht="25" customHeight="1" thickBot="1">
      <c r="A7" s="414">
        <v>99</v>
      </c>
      <c r="B7" s="24" t="s">
        <v>206</v>
      </c>
      <c r="C7" s="26" t="str">
        <f>T(總名冊!J51)</f>
        <v>張子坤</v>
      </c>
      <c r="D7" s="26" t="str">
        <f>T(總名冊!I51)</f>
        <v>電機四丁</v>
      </c>
      <c r="E7" s="10"/>
      <c r="F7" s="10"/>
      <c r="G7" s="10"/>
      <c r="H7" s="10"/>
      <c r="I7" s="10"/>
      <c r="J7" s="414">
        <v>127</v>
      </c>
      <c r="K7" s="24" t="s">
        <v>206</v>
      </c>
      <c r="L7" s="26" t="str">
        <f>T(總名冊!J72)</f>
        <v>江聖頎</v>
      </c>
      <c r="M7" s="26" t="str">
        <f>T(總名冊!I72)</f>
        <v>電機一丙</v>
      </c>
      <c r="N7" s="10"/>
      <c r="O7" s="10"/>
      <c r="P7" s="10"/>
      <c r="Q7" s="10"/>
      <c r="R7" s="10"/>
    </row>
    <row r="8" spans="1:18" ht="25" customHeight="1" thickBot="1">
      <c r="A8" s="415"/>
      <c r="B8" s="24" t="s">
        <v>192</v>
      </c>
      <c r="C8" s="26" t="str">
        <f>T(總名冊!J52)</f>
        <v>廖宜莛</v>
      </c>
      <c r="D8" s="26" t="str">
        <f>T(總名冊!I52)</f>
        <v>半導體一甲</v>
      </c>
      <c r="E8" s="10"/>
      <c r="F8" s="10"/>
      <c r="G8" s="10"/>
      <c r="H8" s="10"/>
      <c r="I8" s="10"/>
      <c r="J8" s="415"/>
      <c r="K8" s="24" t="s">
        <v>192</v>
      </c>
      <c r="L8" s="26" t="str">
        <f>T(總名冊!J73)</f>
        <v>陳心颺</v>
      </c>
      <c r="M8" s="26" t="str">
        <f>T(總名冊!I73)</f>
        <v>電機二丁</v>
      </c>
      <c r="N8" s="10"/>
      <c r="O8" s="10"/>
      <c r="P8" s="10"/>
      <c r="Q8" s="10"/>
      <c r="R8" s="10"/>
    </row>
    <row r="9" spans="1:18" ht="25" customHeight="1" thickBot="1">
      <c r="A9" s="416"/>
      <c r="B9" s="24" t="s">
        <v>207</v>
      </c>
      <c r="C9" s="26" t="str">
        <f>T(總名冊!J53)</f>
        <v>蔡明宏</v>
      </c>
      <c r="D9" s="26" t="str">
        <f>T(總名冊!I53)</f>
        <v xml:space="preserve">數媒一甲  </v>
      </c>
      <c r="E9" s="10"/>
      <c r="F9" s="10"/>
      <c r="G9" s="10"/>
      <c r="H9" s="10"/>
      <c r="I9" s="10"/>
      <c r="J9" s="416"/>
      <c r="K9" s="24" t="s">
        <v>207</v>
      </c>
      <c r="L9" s="26" t="str">
        <f>T(總名冊!J74)</f>
        <v>許閎凱</v>
      </c>
      <c r="M9" s="26" t="str">
        <f>T(總名冊!I74)</f>
        <v>電機一乙</v>
      </c>
      <c r="N9" s="10"/>
      <c r="O9" s="10"/>
      <c r="P9" s="10"/>
      <c r="Q9" s="10"/>
      <c r="R9" s="10"/>
    </row>
    <row r="10" spans="1:18" ht="25" customHeight="1" thickBot="1">
      <c r="A10" s="414">
        <v>101</v>
      </c>
      <c r="B10" s="24" t="s">
        <v>206</v>
      </c>
      <c r="C10" s="26" t="str">
        <f>T(總名冊!J54)</f>
        <v>王嵩哲</v>
      </c>
      <c r="D10" s="26" t="str">
        <f>T(總名冊!I54)</f>
        <v xml:space="preserve">數媒一乙  </v>
      </c>
      <c r="E10" s="10"/>
      <c r="F10" s="10"/>
      <c r="G10" s="10"/>
      <c r="H10" s="10"/>
      <c r="I10" s="10"/>
      <c r="J10" s="414">
        <v>129</v>
      </c>
      <c r="K10" s="24" t="s">
        <v>206</v>
      </c>
      <c r="L10" s="26" t="str">
        <f>T(總名冊!J75)</f>
        <v>蔣昕和</v>
      </c>
      <c r="M10" s="26" t="str">
        <f>T(總名冊!I75)</f>
        <v>半導體一甲</v>
      </c>
      <c r="N10" s="10"/>
      <c r="O10" s="10"/>
      <c r="P10" s="10"/>
      <c r="Q10" s="10"/>
      <c r="R10" s="10"/>
    </row>
    <row r="11" spans="1:18" ht="25" customHeight="1" thickBot="1">
      <c r="A11" s="415"/>
      <c r="B11" s="24" t="s">
        <v>192</v>
      </c>
      <c r="C11" s="26" t="str">
        <f>T(總名冊!J55)</f>
        <v>陳怡憲</v>
      </c>
      <c r="D11" s="26" t="str">
        <f>T(總名冊!I55)</f>
        <v xml:space="preserve">數媒一乙  </v>
      </c>
      <c r="E11" s="10"/>
      <c r="F11" s="10"/>
      <c r="G11" s="10"/>
      <c r="H11" s="10"/>
      <c r="I11" s="10"/>
      <c r="J11" s="415"/>
      <c r="K11" s="24" t="s">
        <v>192</v>
      </c>
      <c r="L11" s="26" t="str">
        <f>T(總名冊!J76)</f>
        <v>周韋志</v>
      </c>
      <c r="M11" s="26" t="str">
        <f>T(總名冊!I76)</f>
        <v>電機一乙</v>
      </c>
      <c r="N11" s="10"/>
      <c r="O11" s="10"/>
      <c r="P11" s="10"/>
      <c r="Q11" s="10"/>
      <c r="R11" s="10"/>
    </row>
    <row r="12" spans="1:18" ht="25" customHeight="1" thickBot="1">
      <c r="A12" s="416"/>
      <c r="B12" s="24" t="s">
        <v>207</v>
      </c>
      <c r="C12" s="29" t="str">
        <f>T(總名冊!J56)</f>
        <v>徐良祁</v>
      </c>
      <c r="D12" s="26" t="str">
        <f>T(總名冊!I56)</f>
        <v xml:space="preserve">資管二丙  </v>
      </c>
      <c r="E12" s="10"/>
      <c r="F12" s="10"/>
      <c r="G12" s="10"/>
      <c r="H12" s="10"/>
      <c r="I12" s="10"/>
      <c r="J12" s="416"/>
      <c r="K12" s="24" t="s">
        <v>207</v>
      </c>
      <c r="L12" s="26" t="str">
        <f>T(總名冊!J77)</f>
        <v>林佑丞</v>
      </c>
      <c r="M12" s="26" t="str">
        <f>T(總名冊!I77)</f>
        <v xml:space="preserve">犯防一乙  </v>
      </c>
      <c r="N12" s="10"/>
      <c r="O12" s="10"/>
      <c r="P12" s="10"/>
      <c r="Q12" s="10"/>
      <c r="R12" s="10"/>
    </row>
    <row r="13" spans="1:18" ht="25" customHeight="1" thickBot="1">
      <c r="A13" s="414">
        <v>103</v>
      </c>
      <c r="B13" s="24" t="s">
        <v>206</v>
      </c>
      <c r="C13" s="26" t="str">
        <f>T(總名冊!J57)</f>
        <v>江臣俊</v>
      </c>
      <c r="D13" s="26" t="str">
        <f>T(總名冊!I57)</f>
        <v>餐旅四甲</v>
      </c>
      <c r="E13" s="10"/>
      <c r="F13" s="10"/>
      <c r="G13" s="10"/>
      <c r="H13" s="10"/>
      <c r="I13" s="10"/>
      <c r="J13" s="414">
        <v>131</v>
      </c>
      <c r="K13" s="24" t="s">
        <v>206</v>
      </c>
      <c r="L13" s="26" t="str">
        <f>T(總名冊!J78)</f>
        <v>劉宥均</v>
      </c>
      <c r="M13" s="26" t="str">
        <f>T(總名冊!I78)</f>
        <v xml:space="preserve">犯防一乙  </v>
      </c>
      <c r="N13" s="10"/>
      <c r="O13" s="10"/>
      <c r="P13" s="10"/>
      <c r="Q13" s="10"/>
      <c r="R13" s="10"/>
    </row>
    <row r="14" spans="1:18" ht="25" customHeight="1" thickBot="1">
      <c r="A14" s="415"/>
      <c r="B14" s="24" t="s">
        <v>192</v>
      </c>
      <c r="C14" s="26" t="str">
        <f>T(總名冊!J58)</f>
        <v>黃鉦文</v>
      </c>
      <c r="D14" s="26" t="str">
        <f>T(總名冊!I58)</f>
        <v>文華一甲</v>
      </c>
      <c r="E14" s="10"/>
      <c r="F14" s="10"/>
      <c r="G14" s="10"/>
      <c r="H14" s="10"/>
      <c r="I14" s="10"/>
      <c r="J14" s="415"/>
      <c r="K14" s="24" t="s">
        <v>192</v>
      </c>
      <c r="L14" s="26" t="str">
        <f>T(總名冊!J79)</f>
        <v>董恩睿</v>
      </c>
      <c r="M14" s="26" t="str">
        <f>T(總名冊!I79)</f>
        <v xml:space="preserve">犯防一甲  </v>
      </c>
      <c r="N14" s="10"/>
      <c r="O14" s="10"/>
      <c r="P14" s="10"/>
      <c r="Q14" s="10"/>
      <c r="R14" s="10"/>
    </row>
    <row r="15" spans="1:18" ht="25" customHeight="1" thickBot="1">
      <c r="A15" s="416"/>
      <c r="B15" s="24" t="s">
        <v>207</v>
      </c>
      <c r="C15" s="26" t="str">
        <f>T(總名冊!J59)</f>
        <v>黃孜鼎</v>
      </c>
      <c r="D15" s="26" t="str">
        <f>T(總名冊!I59)</f>
        <v xml:space="preserve">數媒一乙  </v>
      </c>
      <c r="E15" s="10"/>
      <c r="F15" s="10"/>
      <c r="G15" s="10"/>
      <c r="H15" s="10"/>
      <c r="I15" s="10"/>
      <c r="J15" s="416"/>
      <c r="K15" s="24" t="s">
        <v>207</v>
      </c>
      <c r="L15" s="26" t="str">
        <f>T(總名冊!J80)</f>
        <v>葉仲詠</v>
      </c>
      <c r="M15" s="26" t="str">
        <f>T(總名冊!I80)</f>
        <v>金融二甲</v>
      </c>
      <c r="N15" s="10"/>
      <c r="O15" s="10"/>
      <c r="P15" s="10"/>
      <c r="Q15" s="10"/>
      <c r="R15" s="10"/>
    </row>
    <row r="16" spans="1:18" ht="25" customHeight="1" thickBot="1">
      <c r="A16" s="414">
        <v>105</v>
      </c>
      <c r="B16" s="24" t="s">
        <v>206</v>
      </c>
      <c r="C16" s="26" t="str">
        <f>T(總名冊!J60)</f>
        <v>曾梓祐</v>
      </c>
      <c r="D16" s="26" t="str">
        <f>T(總名冊!I60)</f>
        <v xml:space="preserve">建築一甲  </v>
      </c>
      <c r="E16" s="10"/>
      <c r="F16" s="10"/>
      <c r="G16" s="10"/>
      <c r="H16" s="10"/>
      <c r="I16" s="10"/>
      <c r="J16" s="414">
        <v>133</v>
      </c>
      <c r="K16" s="24" t="s">
        <v>206</v>
      </c>
      <c r="L16" s="26" t="str">
        <f>T(總名冊!J81)</f>
        <v>楊宗晏</v>
      </c>
      <c r="M16" s="26" t="str">
        <f>T(總名冊!I81)</f>
        <v>電機一甲</v>
      </c>
      <c r="N16" s="10"/>
      <c r="O16" s="10"/>
      <c r="P16" s="10"/>
      <c r="Q16" s="10"/>
      <c r="R16" s="10"/>
    </row>
    <row r="17" spans="1:18" ht="25" customHeight="1" thickBot="1">
      <c r="A17" s="415"/>
      <c r="B17" s="24" t="s">
        <v>192</v>
      </c>
      <c r="C17" s="26" t="e">
        <f>T(總名冊!#REF!)</f>
        <v>#REF!</v>
      </c>
      <c r="D17" s="26" t="e">
        <f>T(總名冊!#REF!)</f>
        <v>#REF!</v>
      </c>
      <c r="E17" s="10"/>
      <c r="F17" s="10"/>
      <c r="G17" s="10"/>
      <c r="H17" s="10"/>
      <c r="I17" s="10"/>
      <c r="J17" s="415"/>
      <c r="K17" s="24" t="s">
        <v>192</v>
      </c>
      <c r="L17" s="26" t="str">
        <f>T(總名冊!J82)</f>
        <v>謝浚宏</v>
      </c>
      <c r="M17" s="26" t="str">
        <f>T(總名冊!I82)</f>
        <v>電機一丙</v>
      </c>
      <c r="N17" s="10"/>
      <c r="O17" s="10"/>
      <c r="P17" s="10"/>
      <c r="Q17" s="10"/>
      <c r="R17" s="10"/>
    </row>
    <row r="18" spans="1:18" ht="25" customHeight="1" thickBot="1">
      <c r="A18" s="416"/>
      <c r="B18" s="24" t="s">
        <v>207</v>
      </c>
      <c r="C18" s="26" t="str">
        <f>T(總名冊!J62)</f>
        <v>馮建鈞</v>
      </c>
      <c r="D18" s="26" t="str">
        <f>T(總名冊!I62)</f>
        <v>應日三乙</v>
      </c>
      <c r="E18" s="10"/>
      <c r="F18" s="10"/>
      <c r="G18" s="10"/>
      <c r="H18" s="10"/>
      <c r="I18" s="10"/>
      <c r="J18" s="416"/>
      <c r="K18" s="24" t="s">
        <v>207</v>
      </c>
      <c r="L18" s="26" t="str">
        <f>T(總名冊!J83)</f>
        <v>楊宗祐</v>
      </c>
      <c r="M18" s="26" t="str">
        <f>T(總名冊!I83)</f>
        <v xml:space="preserve">觀光四甲  </v>
      </c>
      <c r="N18" s="25"/>
      <c r="O18" s="25"/>
      <c r="P18" s="25"/>
      <c r="Q18" s="25"/>
      <c r="R18" s="25"/>
    </row>
    <row r="19" spans="1:18" ht="25" customHeight="1" thickBot="1">
      <c r="A19" s="414">
        <v>107</v>
      </c>
      <c r="B19" s="24" t="s">
        <v>206</v>
      </c>
      <c r="C19" s="26" t="str">
        <f>T(總名冊!J63)</f>
        <v>林柏瀚</v>
      </c>
      <c r="D19" s="26" t="str">
        <f>T(總名冊!I63)</f>
        <v>應日四乙</v>
      </c>
      <c r="E19" s="10"/>
      <c r="F19" s="10"/>
      <c r="G19" s="10"/>
      <c r="H19" s="10"/>
      <c r="I19" s="10"/>
      <c r="J19" s="414">
        <v>135</v>
      </c>
      <c r="K19" s="24" t="s">
        <v>206</v>
      </c>
      <c r="L19" s="26" t="str">
        <f>T(總名冊!J84)</f>
        <v>賴宇哲</v>
      </c>
      <c r="M19" s="26" t="str">
        <f>T(總名冊!I84)</f>
        <v>電機一甲</v>
      </c>
      <c r="N19" s="10"/>
      <c r="O19" s="10"/>
      <c r="P19" s="10"/>
      <c r="Q19" s="10"/>
      <c r="R19" s="10"/>
    </row>
    <row r="20" spans="1:18" ht="25" customHeight="1" thickBot="1">
      <c r="A20" s="415"/>
      <c r="B20" s="24" t="s">
        <v>192</v>
      </c>
      <c r="C20" s="26" t="str">
        <f>T(總名冊!J64)</f>
        <v>廖昱翔</v>
      </c>
      <c r="D20" s="26" t="str">
        <f>T(總名冊!I64)</f>
        <v>應日三甲</v>
      </c>
      <c r="E20" s="10"/>
      <c r="F20" s="10"/>
      <c r="G20" s="10"/>
      <c r="H20" s="10"/>
      <c r="I20" s="10"/>
      <c r="J20" s="415"/>
      <c r="K20" s="24" t="s">
        <v>192</v>
      </c>
      <c r="L20" s="26" t="str">
        <f>T(總名冊!J85)</f>
        <v>鄭皓勻</v>
      </c>
      <c r="M20" s="26" t="str">
        <f>T(總名冊!I85)</f>
        <v>金科一甲</v>
      </c>
      <c r="N20" s="10"/>
      <c r="O20" s="10"/>
      <c r="P20" s="10"/>
      <c r="Q20" s="10"/>
      <c r="R20" s="10"/>
    </row>
    <row r="21" spans="1:18" ht="25" customHeight="1" thickBot="1">
      <c r="A21" s="416"/>
      <c r="B21" s="24" t="s">
        <v>207</v>
      </c>
      <c r="C21" s="26" t="str">
        <f>T(總名冊!J65)</f>
        <v>吳承峰</v>
      </c>
      <c r="D21" s="26" t="str">
        <f>T(總名冊!I65)</f>
        <v>應日二甲</v>
      </c>
      <c r="E21" s="10"/>
      <c r="F21" s="10"/>
      <c r="G21" s="10"/>
      <c r="H21" s="10"/>
      <c r="I21" s="10"/>
      <c r="J21" s="416"/>
      <c r="K21" s="24" t="s">
        <v>207</v>
      </c>
      <c r="L21" s="29" t="str">
        <f>T(總名冊!J86)</f>
        <v>張容福</v>
      </c>
      <c r="M21" s="26" t="str">
        <f>T(總名冊!I86)</f>
        <v xml:space="preserve">資管三乙  </v>
      </c>
      <c r="N21" s="10"/>
      <c r="O21" s="10"/>
      <c r="P21" s="10"/>
      <c r="Q21" s="10"/>
      <c r="R21" s="10"/>
    </row>
    <row r="22" spans="1:18" ht="25" customHeight="1" thickBot="1">
      <c r="A22" s="414">
        <v>109</v>
      </c>
      <c r="B22" s="24" t="s">
        <v>206</v>
      </c>
      <c r="C22" s="26" t="str">
        <f>T(總名冊!J66)</f>
        <v>林文勗</v>
      </c>
      <c r="D22" s="26" t="str">
        <f>T(總名冊!I66)</f>
        <v xml:space="preserve">應日一甲  </v>
      </c>
      <c r="E22" s="10"/>
      <c r="F22" s="10"/>
      <c r="G22" s="10"/>
      <c r="H22" s="10"/>
      <c r="I22" s="10"/>
      <c r="J22" s="417">
        <v>137</v>
      </c>
      <c r="K22" s="24" t="s">
        <v>206</v>
      </c>
      <c r="L22" s="26" t="str">
        <f>T(總名冊!J87)</f>
        <v>王廉程</v>
      </c>
      <c r="M22" s="26" t="str">
        <f>T(總名冊!I87)</f>
        <v>資管三丙</v>
      </c>
      <c r="N22" s="10"/>
      <c r="O22" s="10"/>
      <c r="P22" s="10"/>
      <c r="Q22" s="10"/>
      <c r="R22" s="10"/>
    </row>
    <row r="23" spans="1:18" ht="25" customHeight="1" thickBot="1">
      <c r="A23" s="415"/>
      <c r="B23" s="24" t="s">
        <v>192</v>
      </c>
      <c r="C23" s="26" t="str">
        <f>T(總名冊!J67)</f>
        <v>彭新凱</v>
      </c>
      <c r="D23" s="26" t="str">
        <f>T(總名冊!I67)</f>
        <v xml:space="preserve">商設一乙  </v>
      </c>
      <c r="E23" s="10"/>
      <c r="F23" s="10"/>
      <c r="G23" s="10"/>
      <c r="H23" s="10"/>
      <c r="I23" s="10"/>
      <c r="J23" s="417"/>
      <c r="K23" s="24" t="s">
        <v>192</v>
      </c>
      <c r="L23" s="26" t="e">
        <f>T(總名冊!#REF!)</f>
        <v>#REF!</v>
      </c>
      <c r="M23" s="26" t="str">
        <f>T(總名冊!J95)</f>
        <v>黃星維</v>
      </c>
      <c r="N23" s="10"/>
      <c r="O23" s="10"/>
      <c r="P23" s="10"/>
      <c r="Q23" s="10"/>
      <c r="R23" s="10"/>
    </row>
    <row r="24" spans="1:18" ht="25" customHeight="1" thickBot="1">
      <c r="A24" s="416"/>
      <c r="B24" s="24" t="s">
        <v>207</v>
      </c>
      <c r="C24" s="26" t="str">
        <f>T(總名冊!J68)</f>
        <v>高擷凱</v>
      </c>
      <c r="D24" s="26" t="str">
        <f>T(總名冊!I68)</f>
        <v xml:space="preserve">商設一甲  </v>
      </c>
      <c r="E24" s="10"/>
      <c r="F24" s="10"/>
      <c r="G24" s="10"/>
      <c r="H24" s="10"/>
      <c r="I24" s="10"/>
      <c r="J24" s="417"/>
      <c r="K24" s="24" t="s">
        <v>207</v>
      </c>
      <c r="L24" s="26" t="str">
        <f>T(總名冊!J89)</f>
        <v>陳致璿</v>
      </c>
      <c r="M24" s="26" t="str">
        <f>T(總名冊!I89)</f>
        <v xml:space="preserve">資管一丙  </v>
      </c>
      <c r="N24" s="10"/>
      <c r="O24" s="10"/>
      <c r="P24" s="10"/>
      <c r="Q24" s="10"/>
      <c r="R24" s="10"/>
    </row>
    <row r="25" spans="1:18" ht="19" customHeight="1"/>
    <row r="26" spans="1:18" ht="19" customHeight="1"/>
    <row r="27" spans="1:18" ht="19" customHeight="1"/>
    <row r="28" spans="1:18" ht="19" customHeight="1"/>
    <row r="29" spans="1:18" ht="19" customHeight="1"/>
    <row r="30" spans="1:18" ht="19" customHeight="1"/>
    <row r="31" spans="1:18" ht="19" customHeight="1"/>
    <row r="32" spans="1:18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6" ht="4.5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</sheetData>
  <mergeCells count="23">
    <mergeCell ref="A1:R1"/>
    <mergeCell ref="J22:J24"/>
    <mergeCell ref="J13:J15"/>
    <mergeCell ref="J16:J18"/>
    <mergeCell ref="J19:J21"/>
    <mergeCell ref="J4:J6"/>
    <mergeCell ref="J7:J9"/>
    <mergeCell ref="J10:J12"/>
    <mergeCell ref="L2:L3"/>
    <mergeCell ref="M2:M3"/>
    <mergeCell ref="A4:A6"/>
    <mergeCell ref="A7:A9"/>
    <mergeCell ref="A2:A3"/>
    <mergeCell ref="B2:B3"/>
    <mergeCell ref="C2:C3"/>
    <mergeCell ref="D2:D3"/>
    <mergeCell ref="J2:J3"/>
    <mergeCell ref="K2:K3"/>
    <mergeCell ref="A19:A21"/>
    <mergeCell ref="A22:A24"/>
    <mergeCell ref="A10:A12"/>
    <mergeCell ref="A13:A15"/>
    <mergeCell ref="A16:A18"/>
  </mergeCells>
  <phoneticPr fontId="5" type="noConversion"/>
  <printOptions horizontalCentered="1" verticalCentered="1"/>
  <pageMargins left="0.11811023622047245" right="0.11811023622047245" top="0.35433070866141736" bottom="0.15748031496062992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69"/>
  <sheetViews>
    <sheetView zoomScale="70" zoomScaleNormal="70" workbookViewId="0">
      <selection activeCell="F21" sqref="F21"/>
    </sheetView>
  </sheetViews>
  <sheetFormatPr baseColWidth="10" defaultColWidth="9.19921875" defaultRowHeight="14"/>
  <cols>
    <col min="1" max="1" width="6.796875" customWidth="1"/>
    <col min="2" max="2" width="3.796875" customWidth="1"/>
    <col min="3" max="3" width="10.796875" customWidth="1"/>
    <col min="4" max="4" width="17.796875" style="18" bestFit="1" customWidth="1"/>
    <col min="5" max="9" width="8.796875" customWidth="1"/>
    <col min="10" max="10" width="6.796875" customWidth="1"/>
    <col min="11" max="11" width="3.796875" customWidth="1"/>
    <col min="12" max="12" width="11" bestFit="1" customWidth="1"/>
    <col min="13" max="13" width="17.796875" style="18" bestFit="1" customWidth="1"/>
    <col min="14" max="18" width="8.796875" customWidth="1"/>
  </cols>
  <sheetData>
    <row r="1" spans="1:18" ht="30" customHeight="1" thickBot="1">
      <c r="A1" s="421" t="s">
        <v>210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3"/>
    </row>
    <row r="2" spans="1:18" ht="25" customHeight="1" thickBot="1">
      <c r="A2" s="424" t="s">
        <v>211</v>
      </c>
      <c r="B2" s="426" t="s">
        <v>195</v>
      </c>
      <c r="C2" s="418" t="s">
        <v>201</v>
      </c>
      <c r="D2" s="418" t="s">
        <v>203</v>
      </c>
      <c r="E2" s="27" t="s">
        <v>199</v>
      </c>
      <c r="F2" s="27" t="s">
        <v>196</v>
      </c>
      <c r="G2" s="27" t="s">
        <v>197</v>
      </c>
      <c r="H2" s="27" t="s">
        <v>198</v>
      </c>
      <c r="I2" s="27" t="s">
        <v>200</v>
      </c>
      <c r="J2" s="424" t="s">
        <v>211</v>
      </c>
      <c r="K2" s="426" t="s">
        <v>195</v>
      </c>
      <c r="L2" s="418" t="s">
        <v>201</v>
      </c>
      <c r="M2" s="418" t="s">
        <v>203</v>
      </c>
      <c r="N2" s="27" t="s">
        <v>199</v>
      </c>
      <c r="O2" s="27" t="s">
        <v>196</v>
      </c>
      <c r="P2" s="27" t="s">
        <v>197</v>
      </c>
      <c r="Q2" s="27" t="s">
        <v>198</v>
      </c>
      <c r="R2" s="27" t="s">
        <v>200</v>
      </c>
    </row>
    <row r="3" spans="1:18" ht="25" customHeight="1" thickBot="1">
      <c r="A3" s="425"/>
      <c r="B3" s="427"/>
      <c r="C3" s="420"/>
      <c r="D3" s="420"/>
      <c r="E3" s="27"/>
      <c r="F3" s="27"/>
      <c r="G3" s="27"/>
      <c r="H3" s="27"/>
      <c r="I3" s="27"/>
      <c r="J3" s="425"/>
      <c r="K3" s="427"/>
      <c r="L3" s="420"/>
      <c r="M3" s="420"/>
      <c r="N3" s="27"/>
      <c r="O3" s="27"/>
      <c r="P3" s="27"/>
      <c r="Q3" s="27"/>
      <c r="R3" s="27"/>
    </row>
    <row r="4" spans="1:18" ht="25" customHeight="1" thickBot="1">
      <c r="A4" s="418">
        <v>97</v>
      </c>
      <c r="B4" s="24" t="s">
        <v>206</v>
      </c>
      <c r="C4" s="26" t="str">
        <f>T(總名冊!J90)</f>
        <v>邱繼緯</v>
      </c>
      <c r="D4" s="26" t="str">
        <f>T(總名冊!I90)</f>
        <v xml:space="preserve">資管一丙  </v>
      </c>
      <c r="E4" s="10"/>
      <c r="F4" s="10"/>
      <c r="G4" s="10"/>
      <c r="H4" s="10"/>
      <c r="I4" s="10"/>
      <c r="J4" s="414">
        <v>125</v>
      </c>
      <c r="K4" s="24" t="s">
        <v>206</v>
      </c>
      <c r="L4" s="26" t="str">
        <f>T(總名冊!J111)</f>
        <v>裴孟林</v>
      </c>
      <c r="M4" s="26" t="str">
        <f>T(總名冊!I111)</f>
        <v>餐旅系</v>
      </c>
      <c r="N4" s="10"/>
      <c r="O4" s="10"/>
      <c r="P4" s="10"/>
      <c r="Q4" s="10"/>
      <c r="R4" s="10"/>
    </row>
    <row r="5" spans="1:18" ht="25" customHeight="1" thickBot="1">
      <c r="A5" s="419"/>
      <c r="B5" s="24" t="s">
        <v>192</v>
      </c>
      <c r="C5" s="26" t="str">
        <f>T(總名冊!J91)</f>
        <v>陳立恩</v>
      </c>
      <c r="D5" s="26" t="str">
        <f>T(總名冊!I91)</f>
        <v xml:space="preserve">資管一丙  </v>
      </c>
      <c r="E5" s="25"/>
      <c r="F5" s="25"/>
      <c r="G5" s="25"/>
      <c r="H5" s="25"/>
      <c r="I5" s="25"/>
      <c r="J5" s="415"/>
      <c r="K5" s="24" t="s">
        <v>192</v>
      </c>
      <c r="L5" s="26" t="str">
        <f>T(總名冊!J61)</f>
        <v>吳一君</v>
      </c>
      <c r="M5" s="26" t="str">
        <f>T(總名冊!I61)</f>
        <v xml:space="preserve">建築一甲  </v>
      </c>
      <c r="N5" s="10"/>
      <c r="O5" s="10"/>
      <c r="P5" s="10"/>
      <c r="Q5" s="10"/>
      <c r="R5" s="10"/>
    </row>
    <row r="6" spans="1:18" ht="25" customHeight="1" thickBot="1">
      <c r="A6" s="420"/>
      <c r="B6" s="24" t="s">
        <v>207</v>
      </c>
      <c r="C6" s="26" t="str">
        <f>T(總名冊!J92)</f>
        <v>黃柏瑜</v>
      </c>
      <c r="D6" s="26" t="str">
        <f>T(總名冊!I92)</f>
        <v xml:space="preserve">資管一甲  </v>
      </c>
      <c r="E6" s="10"/>
      <c r="F6" s="10"/>
      <c r="G6" s="10"/>
      <c r="H6" s="10"/>
      <c r="I6" s="10"/>
      <c r="J6" s="416"/>
      <c r="K6" s="24" t="s">
        <v>207</v>
      </c>
      <c r="L6" s="26" t="str">
        <f>T(總名冊!J113)</f>
        <v>張秦瑜</v>
      </c>
      <c r="M6" s="26" t="str">
        <f>T(總名冊!I113)</f>
        <v xml:space="preserve">資工一丙  </v>
      </c>
      <c r="N6" s="10"/>
      <c r="O6" s="10"/>
      <c r="P6" s="10"/>
      <c r="Q6" s="10"/>
      <c r="R6" s="10"/>
    </row>
    <row r="7" spans="1:18" ht="25" customHeight="1" thickBot="1">
      <c r="A7" s="414">
        <v>99</v>
      </c>
      <c r="B7" s="24" t="s">
        <v>206</v>
      </c>
      <c r="C7" s="26" t="str">
        <f>T(總名冊!J93)</f>
        <v>阮梓睿</v>
      </c>
      <c r="D7" s="26" t="str">
        <f>T(總名冊!I93)</f>
        <v xml:space="preserve">資管一丙  </v>
      </c>
      <c r="E7" s="10"/>
      <c r="F7" s="10"/>
      <c r="G7" s="10"/>
      <c r="H7" s="10"/>
      <c r="I7" s="10"/>
      <c r="J7" s="414">
        <v>127</v>
      </c>
      <c r="K7" s="24" t="s">
        <v>206</v>
      </c>
      <c r="L7" s="26" t="str">
        <f>T(總名冊!J114)</f>
        <v>蔡幸霖</v>
      </c>
      <c r="M7" s="26" t="str">
        <f>T(總名冊!I114)</f>
        <v xml:space="preserve">資工一甲  </v>
      </c>
      <c r="N7" s="10"/>
      <c r="O7" s="10"/>
      <c r="P7" s="10"/>
      <c r="Q7" s="10"/>
      <c r="R7" s="10"/>
    </row>
    <row r="8" spans="1:18" ht="25" customHeight="1" thickBot="1">
      <c r="A8" s="415"/>
      <c r="B8" s="24" t="s">
        <v>192</v>
      </c>
      <c r="C8" s="26" t="str">
        <f>T(總名冊!J94)</f>
        <v>蔡承洋</v>
      </c>
      <c r="D8" s="26" t="str">
        <f>T(總名冊!I94)</f>
        <v xml:space="preserve">人智一乙  </v>
      </c>
      <c r="E8" s="10"/>
      <c r="F8" s="10"/>
      <c r="G8" s="10"/>
      <c r="H8" s="10"/>
      <c r="I8" s="10"/>
      <c r="J8" s="415"/>
      <c r="K8" s="24" t="s">
        <v>192</v>
      </c>
      <c r="L8" s="26" t="str">
        <f>T(總名冊!J115)</f>
        <v>徐澤亞</v>
      </c>
      <c r="M8" s="26" t="str">
        <f>T(總名冊!I115)</f>
        <v xml:space="preserve">觀光一甲  </v>
      </c>
      <c r="N8" s="10"/>
      <c r="O8" s="10"/>
      <c r="P8" s="10"/>
      <c r="Q8" s="10"/>
      <c r="R8" s="10"/>
    </row>
    <row r="9" spans="1:18" ht="25" customHeight="1" thickBot="1">
      <c r="A9" s="416"/>
      <c r="B9" s="24" t="s">
        <v>207</v>
      </c>
      <c r="C9" s="28" t="e">
        <f>T(總名冊!#REF!)</f>
        <v>#REF!</v>
      </c>
      <c r="D9" s="26" t="e">
        <f>T(總名冊!#REF!)</f>
        <v>#REF!</v>
      </c>
      <c r="E9" s="10"/>
      <c r="F9" s="10"/>
      <c r="G9" s="10"/>
      <c r="H9" s="10"/>
      <c r="I9" s="10"/>
      <c r="J9" s="416"/>
      <c r="K9" s="24" t="s">
        <v>207</v>
      </c>
      <c r="L9" s="26" t="str">
        <f>T(總名冊!J116)</f>
        <v>鄭凱瑞</v>
      </c>
      <c r="M9" s="26" t="str">
        <f>T(總名冊!I116)</f>
        <v xml:space="preserve">餐旅一甲  </v>
      </c>
      <c r="N9" s="10"/>
      <c r="O9" s="10"/>
      <c r="P9" s="10"/>
      <c r="Q9" s="10"/>
      <c r="R9" s="10"/>
    </row>
    <row r="10" spans="1:18" ht="25" customHeight="1" thickBot="1">
      <c r="A10" s="414">
        <v>101</v>
      </c>
      <c r="B10" s="24" t="s">
        <v>206</v>
      </c>
      <c r="C10" s="26" t="str">
        <f>T(總名冊!J96)</f>
        <v>賴禹丞</v>
      </c>
      <c r="D10" s="26" t="str">
        <f>T(總名冊!I96)</f>
        <v xml:space="preserve">應英一甲  </v>
      </c>
      <c r="E10" s="10"/>
      <c r="F10" s="10"/>
      <c r="G10" s="10"/>
      <c r="H10" s="10"/>
      <c r="I10" s="10"/>
      <c r="J10" s="414">
        <v>129</v>
      </c>
      <c r="K10" s="24" t="s">
        <v>206</v>
      </c>
      <c r="L10" s="26" t="str">
        <f>T(總名冊!J117)</f>
        <v>胡振雍</v>
      </c>
      <c r="M10" s="26" t="str">
        <f>T(總名冊!I117)</f>
        <v>生科一乙</v>
      </c>
      <c r="N10" s="10"/>
      <c r="O10" s="10"/>
      <c r="P10" s="10"/>
      <c r="Q10" s="10"/>
      <c r="R10" s="10"/>
    </row>
    <row r="11" spans="1:18" ht="25" customHeight="1" thickBot="1">
      <c r="A11" s="415"/>
      <c r="B11" s="24" t="s">
        <v>192</v>
      </c>
      <c r="C11" s="26" t="str">
        <f>T(總名冊!J97)</f>
        <v>洪睿廷</v>
      </c>
      <c r="D11" s="26" t="str">
        <f>T(總名冊!I97)</f>
        <v xml:space="preserve">金融一甲  </v>
      </c>
      <c r="E11" s="10"/>
      <c r="F11" s="10"/>
      <c r="G11" s="10"/>
      <c r="H11" s="10"/>
      <c r="I11" s="10"/>
      <c r="J11" s="415"/>
      <c r="K11" s="24" t="s">
        <v>192</v>
      </c>
      <c r="L11" s="26" t="str">
        <f>T(總名冊!J118)</f>
        <v>盧劭齊</v>
      </c>
      <c r="M11" s="26" t="str">
        <f>T(總名冊!I118)</f>
        <v xml:space="preserve">生科一乙  </v>
      </c>
      <c r="N11" s="10"/>
      <c r="O11" s="10"/>
      <c r="P11" s="10"/>
      <c r="Q11" s="10"/>
      <c r="R11" s="10"/>
    </row>
    <row r="12" spans="1:18" ht="25" customHeight="1" thickBot="1">
      <c r="A12" s="416"/>
      <c r="B12" s="24" t="s">
        <v>207</v>
      </c>
      <c r="C12" s="26" t="str">
        <f>T(總名冊!J98)</f>
        <v>沈奕呈</v>
      </c>
      <c r="D12" s="26" t="str">
        <f>T(總名冊!I98)</f>
        <v xml:space="preserve">資管一甲  </v>
      </c>
      <c r="E12" s="10"/>
      <c r="F12" s="10"/>
      <c r="G12" s="10"/>
      <c r="H12" s="10"/>
      <c r="I12" s="10"/>
      <c r="J12" s="416"/>
      <c r="K12" s="24" t="s">
        <v>207</v>
      </c>
      <c r="L12" s="26" t="str">
        <f>T(總名冊!J119)</f>
        <v>範世英</v>
      </c>
      <c r="M12" s="26" t="str">
        <f>T(總名冊!I119)</f>
        <v>資工系</v>
      </c>
      <c r="N12" s="10"/>
      <c r="O12" s="10"/>
      <c r="P12" s="10"/>
      <c r="Q12" s="10"/>
      <c r="R12" s="10"/>
    </row>
    <row r="13" spans="1:18" ht="25" customHeight="1" thickBot="1">
      <c r="A13" s="414">
        <v>103</v>
      </c>
      <c r="B13" s="24" t="s">
        <v>206</v>
      </c>
      <c r="C13" s="26" t="str">
        <f>T(總名冊!J99)</f>
        <v>張鈞皓</v>
      </c>
      <c r="D13" s="26" t="str">
        <f>T(總名冊!I99)</f>
        <v xml:space="preserve">資工一乙  </v>
      </c>
      <c r="E13" s="10"/>
      <c r="F13" s="10"/>
      <c r="G13" s="10"/>
      <c r="H13" s="10"/>
      <c r="I13" s="10"/>
      <c r="J13" s="414">
        <v>131</v>
      </c>
      <c r="K13" s="24" t="s">
        <v>206</v>
      </c>
      <c r="L13" s="26" t="str">
        <f>T(總名冊!J120)</f>
        <v>阮俊傑</v>
      </c>
      <c r="M13" s="26" t="str">
        <f>T(總名冊!I120)</f>
        <v>資工系</v>
      </c>
      <c r="N13" s="10"/>
      <c r="O13" s="10"/>
      <c r="P13" s="10"/>
      <c r="Q13" s="10"/>
      <c r="R13" s="10"/>
    </row>
    <row r="14" spans="1:18" ht="25" customHeight="1" thickBot="1">
      <c r="A14" s="415"/>
      <c r="B14" s="24" t="s">
        <v>192</v>
      </c>
      <c r="C14" s="26" t="str">
        <f>T(總名冊!J100)</f>
        <v>蔡侑勳</v>
      </c>
      <c r="D14" s="26" t="str">
        <f>T(總名冊!I100)</f>
        <v xml:space="preserve">生科一甲  </v>
      </c>
      <c r="E14" s="10"/>
      <c r="F14" s="10"/>
      <c r="G14" s="10"/>
      <c r="H14" s="10"/>
      <c r="I14" s="10"/>
      <c r="J14" s="415"/>
      <c r="K14" s="24" t="s">
        <v>192</v>
      </c>
      <c r="L14" s="26" t="str">
        <f>T(總名冊!J121)</f>
        <v>陳明芳</v>
      </c>
      <c r="M14" s="26" t="str">
        <f>T(總名冊!I121)</f>
        <v>資工系</v>
      </c>
      <c r="N14" s="10"/>
      <c r="O14" s="10"/>
      <c r="P14" s="10"/>
      <c r="Q14" s="10"/>
      <c r="R14" s="10"/>
    </row>
    <row r="15" spans="1:18" ht="25" customHeight="1" thickBot="1">
      <c r="A15" s="416"/>
      <c r="B15" s="24" t="s">
        <v>207</v>
      </c>
      <c r="C15" s="29" t="str">
        <f>T(總名冊!J160)</f>
        <v>Mzwandile Brian Mavuso</v>
      </c>
      <c r="D15" s="26" t="str">
        <f>T(總名冊!I160)</f>
        <v>外交學程一</v>
      </c>
      <c r="E15" s="10"/>
      <c r="F15" s="10"/>
      <c r="G15" s="10"/>
      <c r="H15" s="10"/>
      <c r="I15" s="10"/>
      <c r="J15" s="416"/>
      <c r="K15" s="24" t="s">
        <v>207</v>
      </c>
      <c r="L15" s="26" t="str">
        <f>T(總名冊!J122)</f>
        <v>陳清純</v>
      </c>
      <c r="M15" s="26" t="str">
        <f>T(總名冊!I122)</f>
        <v>觀光系</v>
      </c>
      <c r="N15" s="10"/>
      <c r="O15" s="10"/>
      <c r="P15" s="10"/>
      <c r="Q15" s="10"/>
      <c r="R15" s="10"/>
    </row>
    <row r="16" spans="1:18" ht="25" customHeight="1" thickBot="1">
      <c r="A16" s="414">
        <v>105</v>
      </c>
      <c r="B16" s="24" t="s">
        <v>206</v>
      </c>
      <c r="C16" s="26" t="str">
        <f>T(總名冊!J102)</f>
        <v>DANG THANH SON</v>
      </c>
      <c r="D16" s="26" t="str">
        <f>T(總名冊!I102)</f>
        <v>觀光學程三</v>
      </c>
      <c r="E16" s="10"/>
      <c r="F16" s="10"/>
      <c r="G16" s="10"/>
      <c r="H16" s="10"/>
      <c r="I16" s="10"/>
      <c r="J16" s="414">
        <v>133</v>
      </c>
      <c r="K16" s="24" t="s">
        <v>206</v>
      </c>
      <c r="L16" s="26" t="str">
        <f>T(總名冊!J123)</f>
        <v>陳光榮</v>
      </c>
      <c r="M16" s="26" t="str">
        <f>T(總名冊!I123)</f>
        <v>觀光系</v>
      </c>
      <c r="N16" s="10"/>
      <c r="O16" s="10"/>
      <c r="P16" s="10"/>
      <c r="Q16" s="10"/>
      <c r="R16" s="10"/>
    </row>
    <row r="17" spans="1:18" ht="25" customHeight="1" thickBot="1">
      <c r="A17" s="415"/>
      <c r="B17" s="24" t="s">
        <v>192</v>
      </c>
      <c r="C17" s="26" t="str">
        <f>T(總名冊!J101)</f>
        <v>BUI AN DUY</v>
      </c>
      <c r="D17" s="26" t="str">
        <f>T(總名冊!I101)</f>
        <v>半導體一乙</v>
      </c>
      <c r="E17" s="10"/>
      <c r="F17" s="10"/>
      <c r="G17" s="10"/>
      <c r="H17" s="10"/>
      <c r="I17" s="10"/>
      <c r="J17" s="415"/>
      <c r="K17" s="24" t="s">
        <v>192</v>
      </c>
      <c r="L17" s="26" t="str">
        <f>T(總名冊!J124)</f>
        <v>武庭營</v>
      </c>
      <c r="M17" s="26" t="str">
        <f>T(總名冊!I124)</f>
        <v>觀光系</v>
      </c>
      <c r="N17" s="10"/>
      <c r="O17" s="10"/>
      <c r="P17" s="10"/>
      <c r="Q17" s="10"/>
      <c r="R17" s="10"/>
    </row>
    <row r="18" spans="1:18" ht="25" customHeight="1" thickBot="1">
      <c r="A18" s="416"/>
      <c r="B18" s="24" t="s">
        <v>207</v>
      </c>
      <c r="C18" s="26" t="str">
        <f>T(總名冊!J104)</f>
        <v>鄧日新</v>
      </c>
      <c r="D18" s="26" t="str">
        <f>T(總名冊!I104)</f>
        <v>資工系</v>
      </c>
      <c r="E18" s="10"/>
      <c r="F18" s="10"/>
      <c r="G18" s="10"/>
      <c r="H18" s="10"/>
      <c r="I18" s="10"/>
      <c r="J18" s="416"/>
      <c r="K18" s="24" t="s">
        <v>207</v>
      </c>
      <c r="L18" s="26" t="str">
        <f>T(總名冊!J125)</f>
        <v>曾楷程</v>
      </c>
      <c r="M18" s="26" t="str">
        <f>T(總名冊!I125)</f>
        <v xml:space="preserve">電機三丁  </v>
      </c>
      <c r="N18" s="25"/>
      <c r="O18" s="25"/>
      <c r="P18" s="25"/>
      <c r="Q18" s="25"/>
      <c r="R18" s="25"/>
    </row>
    <row r="19" spans="1:18" ht="25" customHeight="1" thickBot="1">
      <c r="A19" s="414">
        <v>107</v>
      </c>
      <c r="B19" s="24" t="s">
        <v>206</v>
      </c>
      <c r="C19" s="26" t="str">
        <f>T(總名冊!J105)</f>
        <v>范孟越</v>
      </c>
      <c r="D19" s="26" t="str">
        <f>T(總名冊!I105)</f>
        <v>資工系</v>
      </c>
      <c r="E19" s="10"/>
      <c r="F19" s="10"/>
      <c r="G19" s="10"/>
      <c r="H19" s="10"/>
      <c r="I19" s="10"/>
      <c r="J19" s="414">
        <v>135</v>
      </c>
      <c r="K19" s="24" t="s">
        <v>206</v>
      </c>
      <c r="L19" s="26" t="str">
        <f>T(總名冊!J126)</f>
        <v>黃博楷</v>
      </c>
      <c r="M19" s="26" t="str">
        <f>T(總名冊!I126)</f>
        <v>資訊學程四</v>
      </c>
      <c r="N19" s="10"/>
      <c r="O19" s="10"/>
      <c r="P19" s="10"/>
      <c r="Q19" s="10"/>
      <c r="R19" s="10"/>
    </row>
    <row r="20" spans="1:18" ht="25" customHeight="1" thickBot="1">
      <c r="A20" s="415"/>
      <c r="B20" s="24" t="s">
        <v>192</v>
      </c>
      <c r="C20" s="26" t="str">
        <f>T(總名冊!J106)</f>
        <v>SANCHIR AMAR</v>
      </c>
      <c r="D20" s="26" t="str">
        <f>T(總名冊!I106)</f>
        <v>半導體一乙</v>
      </c>
      <c r="E20" s="10"/>
      <c r="F20" s="10"/>
      <c r="G20" s="10"/>
      <c r="H20" s="10"/>
      <c r="I20" s="10"/>
      <c r="J20" s="415"/>
      <c r="K20" s="24" t="s">
        <v>192</v>
      </c>
      <c r="L20" s="26" t="e">
        <f>T(總名冊!#REF!)</f>
        <v>#REF!</v>
      </c>
      <c r="M20" s="26" t="e">
        <f>T(總名冊!#REF!)</f>
        <v>#REF!</v>
      </c>
      <c r="N20" s="10"/>
      <c r="O20" s="10"/>
      <c r="P20" s="10"/>
      <c r="Q20" s="10"/>
      <c r="R20" s="10"/>
    </row>
    <row r="21" spans="1:18" ht="25" customHeight="1" thickBot="1">
      <c r="A21" s="416"/>
      <c r="B21" s="24" t="s">
        <v>207</v>
      </c>
      <c r="C21" s="26" t="str">
        <f>T(總名冊!J107)</f>
        <v>范友榮</v>
      </c>
      <c r="D21" s="26" t="str">
        <f>T(總名冊!I107)</f>
        <v>餐旅系</v>
      </c>
      <c r="E21" s="10"/>
      <c r="F21" s="10"/>
      <c r="G21" s="10"/>
      <c r="H21" s="10"/>
      <c r="I21" s="10"/>
      <c r="J21" s="416"/>
      <c r="K21" s="24" t="s">
        <v>207</v>
      </c>
      <c r="L21" s="26" t="str">
        <f>T(總名冊!J128)</f>
        <v>葉俊佑</v>
      </c>
      <c r="M21" s="26" t="str">
        <f>T(總名冊!I128)</f>
        <v xml:space="preserve">資工二丙  </v>
      </c>
      <c r="N21" s="10"/>
      <c r="O21" s="10"/>
      <c r="P21" s="10"/>
      <c r="Q21" s="10"/>
      <c r="R21" s="10"/>
    </row>
    <row r="22" spans="1:18" ht="25" customHeight="1" thickBot="1">
      <c r="A22" s="414">
        <v>109</v>
      </c>
      <c r="B22" s="24" t="s">
        <v>206</v>
      </c>
      <c r="C22" s="26" t="str">
        <f>T(總名冊!J108)</f>
        <v>阮玉卿</v>
      </c>
      <c r="D22" s="26" t="str">
        <f>T(總名冊!I108)</f>
        <v>餐旅系</v>
      </c>
      <c r="E22" s="10"/>
      <c r="F22" s="10"/>
      <c r="G22" s="10"/>
      <c r="H22" s="10"/>
      <c r="I22" s="10"/>
      <c r="J22" s="417">
        <v>137</v>
      </c>
      <c r="K22" s="24" t="s">
        <v>206</v>
      </c>
      <c r="L22" s="26" t="str">
        <f>T(總名冊!J129)</f>
        <v>曾濬澤</v>
      </c>
      <c r="M22" s="26" t="str">
        <f>T(總名冊!I129)</f>
        <v xml:space="preserve">金融一甲  </v>
      </c>
      <c r="N22" s="10"/>
      <c r="O22" s="10"/>
      <c r="P22" s="10"/>
      <c r="Q22" s="10"/>
      <c r="R22" s="10"/>
    </row>
    <row r="23" spans="1:18" ht="25" customHeight="1" thickBot="1">
      <c r="A23" s="415"/>
      <c r="B23" s="24" t="s">
        <v>192</v>
      </c>
      <c r="C23" s="26" t="str">
        <f>T(總名冊!J109)</f>
        <v>阮懷安</v>
      </c>
      <c r="D23" s="26" t="str">
        <f>T(總名冊!I109)</f>
        <v>餐旅系</v>
      </c>
      <c r="E23" s="10"/>
      <c r="F23" s="10"/>
      <c r="G23" s="10"/>
      <c r="H23" s="10"/>
      <c r="I23" s="10"/>
      <c r="J23" s="417"/>
      <c r="K23" s="24" t="s">
        <v>192</v>
      </c>
      <c r="L23" s="26" t="str">
        <f>T(總名冊!J130)</f>
        <v>陳璽仲</v>
      </c>
      <c r="M23" s="26" t="str">
        <f>T(總名冊!I130)</f>
        <v xml:space="preserve">電機二甲  </v>
      </c>
      <c r="N23" s="10"/>
      <c r="O23" s="10"/>
      <c r="P23" s="10"/>
      <c r="Q23" s="10"/>
      <c r="R23" s="10"/>
    </row>
    <row r="24" spans="1:18" ht="25" customHeight="1" thickBot="1">
      <c r="A24" s="416"/>
      <c r="B24" s="24" t="s">
        <v>207</v>
      </c>
      <c r="C24" s="26" t="str">
        <f>T(總名冊!J110)</f>
        <v>鄧嘉輝</v>
      </c>
      <c r="D24" s="26" t="str">
        <f>T(總名冊!I110)</f>
        <v>餐旅系</v>
      </c>
      <c r="E24" s="10"/>
      <c r="F24" s="10"/>
      <c r="G24" s="10"/>
      <c r="H24" s="10"/>
      <c r="I24" s="10"/>
      <c r="J24" s="417"/>
      <c r="K24" s="24" t="s">
        <v>207</v>
      </c>
      <c r="L24" s="26" t="str">
        <f>T(總名冊!J131)</f>
        <v>武菲陽</v>
      </c>
      <c r="M24" s="26" t="str">
        <f>T(總名冊!I131)</f>
        <v>資工系</v>
      </c>
      <c r="N24" s="10"/>
      <c r="O24" s="10"/>
      <c r="P24" s="10"/>
      <c r="Q24" s="10"/>
      <c r="R24" s="10"/>
    </row>
    <row r="25" spans="1:18" ht="19" customHeight="1"/>
    <row r="26" spans="1:18" ht="19" customHeight="1"/>
    <row r="27" spans="1:18" ht="19" customHeight="1"/>
    <row r="28" spans="1:18" ht="19" customHeight="1"/>
    <row r="29" spans="1:18" ht="19" customHeight="1"/>
    <row r="30" spans="1:18" ht="19" customHeight="1"/>
    <row r="31" spans="1:18" ht="19" customHeight="1"/>
    <row r="32" spans="1:18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6" ht="4.5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</sheetData>
  <mergeCells count="23">
    <mergeCell ref="A1:R1"/>
    <mergeCell ref="A2:A3"/>
    <mergeCell ref="B2:B3"/>
    <mergeCell ref="C2:C3"/>
    <mergeCell ref="D2:D3"/>
    <mergeCell ref="J2:J3"/>
    <mergeCell ref="K2:K3"/>
    <mergeCell ref="L2:L3"/>
    <mergeCell ref="M2:M3"/>
    <mergeCell ref="A4:A6"/>
    <mergeCell ref="J4:J6"/>
    <mergeCell ref="A7:A9"/>
    <mergeCell ref="J7:J9"/>
    <mergeCell ref="A10:A12"/>
    <mergeCell ref="J10:J12"/>
    <mergeCell ref="A22:A24"/>
    <mergeCell ref="J22:J24"/>
    <mergeCell ref="A13:A15"/>
    <mergeCell ref="J13:J15"/>
    <mergeCell ref="A16:A18"/>
    <mergeCell ref="J16:J18"/>
    <mergeCell ref="A19:A21"/>
    <mergeCell ref="J19:J21"/>
  </mergeCells>
  <phoneticPr fontId="5" type="noConversion"/>
  <printOptions horizontalCentered="1" verticalCentered="1"/>
  <pageMargins left="0.11811023622047245" right="0.11811023622047245" top="0.35433070866141736" bottom="0.15748031496062992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69"/>
  <sheetViews>
    <sheetView zoomScale="70" zoomScaleNormal="70" workbookViewId="0">
      <selection activeCell="F21" sqref="F21"/>
    </sheetView>
  </sheetViews>
  <sheetFormatPr baseColWidth="10" defaultColWidth="9.19921875" defaultRowHeight="14"/>
  <cols>
    <col min="1" max="1" width="5.796875" customWidth="1"/>
    <col min="2" max="2" width="3.796875" customWidth="1"/>
    <col min="3" max="3" width="10.796875" customWidth="1"/>
    <col min="4" max="4" width="17.796875" style="18" bestFit="1" customWidth="1"/>
    <col min="5" max="9" width="8.796875" customWidth="1"/>
    <col min="10" max="10" width="5.796875" customWidth="1"/>
    <col min="11" max="11" width="3.796875" customWidth="1"/>
    <col min="12" max="12" width="10.796875" customWidth="1"/>
    <col min="13" max="13" width="17.796875" style="18" bestFit="1" customWidth="1"/>
    <col min="14" max="18" width="8.796875" customWidth="1"/>
  </cols>
  <sheetData>
    <row r="1" spans="1:18" ht="30" customHeight="1" thickBot="1">
      <c r="A1" s="421" t="s">
        <v>212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3"/>
    </row>
    <row r="2" spans="1:18" ht="25" customHeight="1" thickBot="1">
      <c r="A2" s="424" t="s">
        <v>213</v>
      </c>
      <c r="B2" s="426" t="s">
        <v>195</v>
      </c>
      <c r="C2" s="418" t="s">
        <v>201</v>
      </c>
      <c r="D2" s="418" t="s">
        <v>203</v>
      </c>
      <c r="E2" s="27" t="s">
        <v>199</v>
      </c>
      <c r="F2" s="27" t="s">
        <v>196</v>
      </c>
      <c r="G2" s="27" t="s">
        <v>197</v>
      </c>
      <c r="H2" s="27" t="s">
        <v>198</v>
      </c>
      <c r="I2" s="27" t="s">
        <v>200</v>
      </c>
      <c r="J2" s="424" t="s">
        <v>213</v>
      </c>
      <c r="K2" s="426" t="s">
        <v>195</v>
      </c>
      <c r="L2" s="418" t="s">
        <v>201</v>
      </c>
      <c r="M2" s="418" t="s">
        <v>203</v>
      </c>
      <c r="N2" s="27" t="s">
        <v>199</v>
      </c>
      <c r="O2" s="27" t="s">
        <v>196</v>
      </c>
      <c r="P2" s="27" t="s">
        <v>197</v>
      </c>
      <c r="Q2" s="27" t="s">
        <v>198</v>
      </c>
      <c r="R2" s="27" t="s">
        <v>200</v>
      </c>
    </row>
    <row r="3" spans="1:18" ht="25" customHeight="1" thickBot="1">
      <c r="A3" s="425"/>
      <c r="B3" s="427"/>
      <c r="C3" s="420"/>
      <c r="D3" s="420"/>
      <c r="E3" s="27"/>
      <c r="F3" s="27"/>
      <c r="G3" s="27"/>
      <c r="H3" s="27"/>
      <c r="I3" s="27"/>
      <c r="J3" s="425"/>
      <c r="K3" s="427"/>
      <c r="L3" s="420"/>
      <c r="M3" s="420"/>
      <c r="N3" s="27"/>
      <c r="O3" s="27"/>
      <c r="P3" s="27"/>
      <c r="Q3" s="27"/>
      <c r="R3" s="27"/>
    </row>
    <row r="4" spans="1:18" ht="25" customHeight="1" thickBot="1">
      <c r="A4" s="418">
        <v>97</v>
      </c>
      <c r="B4" s="24" t="s">
        <v>206</v>
      </c>
      <c r="C4" s="29" t="str">
        <f>T(總名冊!J132)</f>
        <v>陳文決</v>
      </c>
      <c r="D4" s="26" t="str">
        <f>T(總名冊!I132)</f>
        <v>都防系</v>
      </c>
      <c r="E4" s="10"/>
      <c r="F4" s="10"/>
      <c r="G4" s="10"/>
      <c r="H4" s="10"/>
      <c r="I4" s="10"/>
      <c r="J4" s="414">
        <v>125</v>
      </c>
      <c r="K4" s="24" t="s">
        <v>206</v>
      </c>
      <c r="L4" s="28" t="str">
        <f>T(總名冊!J138)</f>
        <v>NGOC DUY</v>
      </c>
      <c r="M4" s="26" t="str">
        <f>T(總名冊!I138)</f>
        <v>資訊學程一</v>
      </c>
      <c r="N4" s="10"/>
      <c r="O4" s="10"/>
      <c r="P4" s="10"/>
      <c r="Q4" s="10"/>
      <c r="R4" s="10"/>
    </row>
    <row r="5" spans="1:18" ht="25" customHeight="1" thickBot="1">
      <c r="A5" s="419"/>
      <c r="B5" s="24" t="s">
        <v>192</v>
      </c>
      <c r="C5" s="29" t="str">
        <f>T(總名冊!J133)</f>
        <v>阮庭戰勝</v>
      </c>
      <c r="D5" s="26" t="str">
        <f>T(總名冊!I133)</f>
        <v>資工系</v>
      </c>
      <c r="E5" s="25"/>
      <c r="F5" s="25"/>
      <c r="G5" s="25"/>
      <c r="H5" s="25"/>
      <c r="I5" s="25"/>
      <c r="J5" s="415"/>
      <c r="K5" s="24" t="s">
        <v>192</v>
      </c>
      <c r="L5" s="28" t="str">
        <f>T(總名冊!J154)</f>
        <v>黃文豐</v>
      </c>
      <c r="M5" s="26" t="str">
        <f>T(總名冊!I154)</f>
        <v>外交學程二</v>
      </c>
      <c r="N5" s="10"/>
      <c r="O5" s="10"/>
      <c r="P5" s="10"/>
      <c r="Q5" s="10"/>
      <c r="R5" s="10"/>
    </row>
    <row r="6" spans="1:18" ht="25" customHeight="1" thickBot="1">
      <c r="A6" s="420"/>
      <c r="B6" s="24" t="s">
        <v>207</v>
      </c>
      <c r="C6" s="29" t="e">
        <f>T(總名冊!#REF!)</f>
        <v>#REF!</v>
      </c>
      <c r="D6" s="26" t="e">
        <f>T(總名冊!#REF!)</f>
        <v>#REF!</v>
      </c>
      <c r="E6" s="10"/>
      <c r="F6" s="10"/>
      <c r="G6" s="10"/>
      <c r="H6" s="10"/>
      <c r="I6" s="10"/>
      <c r="J6" s="416"/>
      <c r="K6" s="24" t="s">
        <v>207</v>
      </c>
      <c r="L6" s="28" t="str">
        <f>T(總名冊!J155)</f>
        <v>DO QUY VUONG</v>
      </c>
      <c r="M6" s="26" t="str">
        <f>T(總名冊!I155)</f>
        <v>觀光學程三</v>
      </c>
      <c r="N6" s="10"/>
      <c r="O6" s="10"/>
      <c r="P6" s="10"/>
      <c r="Q6" s="10"/>
      <c r="R6" s="10"/>
    </row>
    <row r="7" spans="1:18" ht="25" customHeight="1" thickBot="1">
      <c r="A7" s="414">
        <v>99</v>
      </c>
      <c r="B7" s="24" t="s">
        <v>206</v>
      </c>
      <c r="C7" s="29" t="e">
        <f>T(總名冊!#REF!)</f>
        <v>#REF!</v>
      </c>
      <c r="D7" s="26" t="e">
        <f>T(總名冊!#REF!)</f>
        <v>#REF!</v>
      </c>
      <c r="E7" s="10"/>
      <c r="F7" s="10"/>
      <c r="G7" s="10"/>
      <c r="H7" s="10"/>
      <c r="I7" s="10"/>
      <c r="J7" s="414">
        <v>127</v>
      </c>
      <c r="K7" s="24" t="s">
        <v>206</v>
      </c>
      <c r="L7" s="29" t="str">
        <f>T(總名冊!J156)</f>
        <v>范黃江</v>
      </c>
      <c r="M7" s="26" t="str">
        <f>T(總名冊!I156)</f>
        <v>生科二丙</v>
      </c>
      <c r="N7" s="10"/>
      <c r="O7" s="10"/>
      <c r="P7" s="10"/>
      <c r="Q7" s="10"/>
      <c r="R7" s="10"/>
    </row>
    <row r="8" spans="1:18" ht="25" customHeight="1" thickBot="1">
      <c r="A8" s="415"/>
      <c r="B8" s="24" t="s">
        <v>192</v>
      </c>
      <c r="C8" s="29" t="str">
        <f>T(總名冊!J136)</f>
        <v>鈴木雄津人</v>
      </c>
      <c r="D8" s="26" t="str">
        <f>T(總名冊!I136)</f>
        <v>外交學程三</v>
      </c>
      <c r="E8" s="10"/>
      <c r="F8" s="10"/>
      <c r="G8" s="10"/>
      <c r="H8" s="10"/>
      <c r="I8" s="10"/>
      <c r="J8" s="415"/>
      <c r="K8" s="24" t="s">
        <v>192</v>
      </c>
      <c r="L8" s="29" t="str">
        <f>T(總名冊!J157)</f>
        <v>陳寶山</v>
      </c>
      <c r="M8" s="26" t="str">
        <f>T(總名冊!I157)</f>
        <v>生科二丙</v>
      </c>
      <c r="N8" s="10"/>
      <c r="O8" s="10"/>
      <c r="P8" s="10"/>
      <c r="Q8" s="10"/>
      <c r="R8" s="10"/>
    </row>
    <row r="9" spans="1:18" ht="25" customHeight="1" thickBot="1">
      <c r="A9" s="416"/>
      <c r="B9" s="24" t="s">
        <v>207</v>
      </c>
      <c r="C9" s="29" t="str">
        <f>T(總名冊!J137)</f>
        <v>DOAN THANH AN</v>
      </c>
      <c r="D9" s="26" t="str">
        <f>T(總名冊!I137)</f>
        <v>資訊學程一</v>
      </c>
      <c r="E9" s="10"/>
      <c r="F9" s="10"/>
      <c r="G9" s="10"/>
      <c r="H9" s="10"/>
      <c r="I9" s="10"/>
      <c r="J9" s="416"/>
      <c r="K9" s="24" t="s">
        <v>207</v>
      </c>
      <c r="L9" s="29" t="e">
        <f>T(總名冊!#REF!)</f>
        <v>#REF!</v>
      </c>
      <c r="M9" s="26" t="e">
        <f>T(總名冊!#REF!)</f>
        <v>#REF!</v>
      </c>
      <c r="N9" s="10"/>
      <c r="O9" s="10"/>
      <c r="P9" s="10"/>
      <c r="Q9" s="10"/>
      <c r="R9" s="10"/>
    </row>
    <row r="10" spans="1:18" ht="25" customHeight="1" thickBot="1">
      <c r="A10" s="414">
        <v>101</v>
      </c>
      <c r="B10" s="24" t="s">
        <v>206</v>
      </c>
      <c r="C10" s="29" t="e">
        <f>T(總名冊!#REF!)</f>
        <v>#REF!</v>
      </c>
      <c r="D10" s="26" t="e">
        <f>T(總名冊!#REF!)</f>
        <v>#REF!</v>
      </c>
      <c r="E10" s="10"/>
      <c r="F10" s="10"/>
      <c r="G10" s="10"/>
      <c r="H10" s="10"/>
      <c r="I10" s="10"/>
      <c r="J10" s="414">
        <v>129</v>
      </c>
      <c r="K10" s="24" t="s">
        <v>206</v>
      </c>
      <c r="L10" s="28" t="str">
        <f>T(總名冊!J159)</f>
        <v>TRAN HOANG DAT</v>
      </c>
      <c r="M10" s="26" t="str">
        <f>T(總名冊!I159)</f>
        <v>觀光學程三</v>
      </c>
      <c r="N10" s="10"/>
      <c r="O10" s="10"/>
      <c r="P10" s="10"/>
      <c r="Q10" s="10"/>
      <c r="R10" s="10"/>
    </row>
    <row r="11" spans="1:18" ht="25" customHeight="1" thickBot="1">
      <c r="A11" s="415"/>
      <c r="B11" s="24" t="s">
        <v>192</v>
      </c>
      <c r="C11" s="29" t="str">
        <f>T(總名冊!J139)</f>
        <v>NGOC DUC THINH</v>
      </c>
      <c r="D11" s="26" t="str">
        <f>T(總名冊!I139)</f>
        <v>資訊學程一</v>
      </c>
      <c r="E11" s="10"/>
      <c r="F11" s="10"/>
      <c r="G11" s="10"/>
      <c r="H11" s="10"/>
      <c r="I11" s="10"/>
      <c r="J11" s="415"/>
      <c r="K11" s="24" t="s">
        <v>192</v>
      </c>
      <c r="L11" s="28" t="str">
        <f>T(總名冊!J103)</f>
        <v>PHAM VIET HUNG</v>
      </c>
      <c r="M11" s="26" t="str">
        <f>T(總名冊!I103)</f>
        <v>觀光學程三</v>
      </c>
      <c r="N11" s="10"/>
      <c r="O11" s="10"/>
      <c r="P11" s="10"/>
      <c r="Q11" s="10"/>
      <c r="R11" s="10"/>
    </row>
    <row r="12" spans="1:18" ht="25" customHeight="1" thickBot="1">
      <c r="A12" s="416"/>
      <c r="B12" s="24" t="s">
        <v>207</v>
      </c>
      <c r="C12" s="26" t="str">
        <f>T(總名冊!J140)</f>
        <v>武俊興</v>
      </c>
      <c r="D12" s="26" t="str">
        <f>T(總名冊!I140)</f>
        <v>觀光學程四</v>
      </c>
      <c r="E12" s="10"/>
      <c r="F12" s="10"/>
      <c r="G12" s="10"/>
      <c r="H12" s="10"/>
      <c r="I12" s="10"/>
      <c r="J12" s="416"/>
      <c r="K12" s="24" t="s">
        <v>207</v>
      </c>
      <c r="L12" s="28" t="str">
        <f>T(總名冊!J161)</f>
        <v>ZUZILE LWAZI  ANDREW</v>
      </c>
      <c r="M12" s="26" t="str">
        <f>T(總名冊!I161)</f>
        <v>資訊學程一</v>
      </c>
      <c r="N12" s="10"/>
      <c r="O12" s="10"/>
      <c r="P12" s="10"/>
      <c r="Q12" s="10"/>
      <c r="R12" s="10"/>
    </row>
    <row r="13" spans="1:18" ht="25" customHeight="1" thickBot="1">
      <c r="A13" s="414">
        <v>103</v>
      </c>
      <c r="B13" s="24" t="s">
        <v>206</v>
      </c>
      <c r="C13" s="26" t="str">
        <f>T(總名冊!J174)</f>
        <v>宋家樑</v>
      </c>
      <c r="D13" s="26" t="str">
        <f>T(總名冊!I174)</f>
        <v>醫管一甲</v>
      </c>
      <c r="E13" s="10"/>
      <c r="F13" s="10"/>
      <c r="G13" s="10"/>
      <c r="H13" s="10"/>
      <c r="I13" s="10"/>
      <c r="J13" s="414">
        <v>131</v>
      </c>
      <c r="K13" s="24" t="s">
        <v>206</v>
      </c>
      <c r="L13" s="26" t="str">
        <f>T(總名冊!J162)</f>
        <v>SIMELANE KWANELE SISHOSONKE</v>
      </c>
      <c r="M13" s="26" t="str">
        <f>T(總名冊!I162)</f>
        <v>資訊學程一</v>
      </c>
      <c r="N13" s="10"/>
      <c r="O13" s="10"/>
      <c r="P13" s="10"/>
      <c r="Q13" s="10"/>
      <c r="R13" s="10"/>
    </row>
    <row r="14" spans="1:18" ht="25" customHeight="1" thickBot="1">
      <c r="A14" s="415"/>
      <c r="B14" s="24" t="s">
        <v>192</v>
      </c>
      <c r="C14" s="26" t="str">
        <f>T(總名冊!J142)</f>
        <v>阮世國寶</v>
      </c>
      <c r="D14" s="26" t="str">
        <f>T(總名冊!I142)</f>
        <v>資訊學程二</v>
      </c>
      <c r="E14" s="10"/>
      <c r="F14" s="10"/>
      <c r="G14" s="10"/>
      <c r="H14" s="10"/>
      <c r="I14" s="10"/>
      <c r="J14" s="415"/>
      <c r="K14" s="24" t="s">
        <v>192</v>
      </c>
      <c r="L14" s="26" t="str">
        <f>T(總名冊!J163)</f>
        <v>曾俊惟</v>
      </c>
      <c r="M14" s="26" t="str">
        <f>T(總名冊!I163)</f>
        <v>休憩一甲</v>
      </c>
      <c r="N14" s="10"/>
      <c r="O14" s="10"/>
      <c r="P14" s="10"/>
      <c r="Q14" s="10"/>
      <c r="R14" s="10"/>
    </row>
    <row r="15" spans="1:18" ht="25" customHeight="1" thickBot="1">
      <c r="A15" s="416"/>
      <c r="B15" s="24" t="s">
        <v>207</v>
      </c>
      <c r="C15" s="26" t="str">
        <f>T(總名冊!J143)</f>
        <v>劉政澔</v>
      </c>
      <c r="D15" s="26" t="str">
        <f>T(總名冊!I143)</f>
        <v xml:space="preserve">電機二甲  </v>
      </c>
      <c r="E15" s="10"/>
      <c r="F15" s="10"/>
      <c r="G15" s="10"/>
      <c r="H15" s="10"/>
      <c r="I15" s="10"/>
      <c r="J15" s="416"/>
      <c r="K15" s="24" t="s">
        <v>207</v>
      </c>
      <c r="L15" s="26" t="str">
        <f>T(總名冊!J164)</f>
        <v>翁晟泰</v>
      </c>
      <c r="M15" s="26" t="str">
        <f>T(總名冊!I164)</f>
        <v xml:space="preserve">人智三乙  </v>
      </c>
      <c r="N15" s="10"/>
      <c r="O15" s="10"/>
      <c r="P15" s="10"/>
      <c r="Q15" s="10"/>
      <c r="R15" s="10"/>
    </row>
    <row r="16" spans="1:18" ht="25" customHeight="1" thickBot="1">
      <c r="A16" s="414">
        <v>105</v>
      </c>
      <c r="B16" s="24" t="s">
        <v>206</v>
      </c>
      <c r="C16" s="26" t="str">
        <f>T(總名冊!J144)</f>
        <v>陳泳宏</v>
      </c>
      <c r="D16" s="26" t="str">
        <f>T(總名冊!I144)</f>
        <v xml:space="preserve">數媒一甲  </v>
      </c>
      <c r="E16" s="10"/>
      <c r="F16" s="10"/>
      <c r="G16" s="10"/>
      <c r="H16" s="10"/>
      <c r="I16" s="10"/>
      <c r="J16" s="414">
        <v>133</v>
      </c>
      <c r="K16" s="24" t="s">
        <v>206</v>
      </c>
      <c r="L16" s="29" t="str">
        <f>T(總名冊!J165)</f>
        <v>劉祐任</v>
      </c>
      <c r="M16" s="26" t="str">
        <f>T(總名冊!I165)</f>
        <v xml:space="preserve">數媒一甲  </v>
      </c>
      <c r="N16" s="10"/>
      <c r="O16" s="10"/>
      <c r="P16" s="10"/>
      <c r="Q16" s="10"/>
      <c r="R16" s="10"/>
    </row>
    <row r="17" spans="1:18" ht="25" customHeight="1" thickBot="1">
      <c r="A17" s="415"/>
      <c r="B17" s="24" t="s">
        <v>192</v>
      </c>
      <c r="C17" s="26" t="str">
        <f>T(總名冊!J145)</f>
        <v>林哲維</v>
      </c>
      <c r="D17" s="26" t="str">
        <f>T(總名冊!I145)</f>
        <v>資工碩二</v>
      </c>
      <c r="E17" s="10"/>
      <c r="F17" s="10"/>
      <c r="G17" s="10"/>
      <c r="H17" s="10"/>
      <c r="I17" s="10"/>
      <c r="J17" s="415"/>
      <c r="K17" s="24" t="s">
        <v>192</v>
      </c>
      <c r="L17" s="29" t="str">
        <f>T(總名冊!J166)</f>
        <v>古承軒</v>
      </c>
      <c r="M17" s="26" t="str">
        <f>T(總名冊!I166)</f>
        <v xml:space="preserve">電機三丁  </v>
      </c>
      <c r="N17" s="10"/>
      <c r="O17" s="10"/>
      <c r="P17" s="10"/>
      <c r="Q17" s="10"/>
      <c r="R17" s="10"/>
    </row>
    <row r="18" spans="1:18" ht="25" customHeight="1" thickBot="1">
      <c r="A18" s="416"/>
      <c r="B18" s="24" t="s">
        <v>207</v>
      </c>
      <c r="C18" s="26" t="str">
        <f>T(總名冊!J146)</f>
        <v>DINH TUAN ANH</v>
      </c>
      <c r="D18" s="26" t="str">
        <f>T(總名冊!I146)</f>
        <v>觀光學程三</v>
      </c>
      <c r="E18" s="10"/>
      <c r="F18" s="10"/>
      <c r="G18" s="10"/>
      <c r="H18" s="10"/>
      <c r="I18" s="10"/>
      <c r="J18" s="416"/>
      <c r="K18" s="24" t="s">
        <v>207</v>
      </c>
      <c r="L18" s="29" t="e">
        <f>T(總名冊!#REF!)</f>
        <v>#REF!</v>
      </c>
      <c r="M18" s="26" t="e">
        <f>T(總名冊!#REF!)</f>
        <v>#REF!</v>
      </c>
      <c r="N18" s="25"/>
      <c r="O18" s="25"/>
      <c r="P18" s="25"/>
      <c r="Q18" s="25"/>
      <c r="R18" s="25"/>
    </row>
    <row r="19" spans="1:18" ht="25" customHeight="1" thickBot="1">
      <c r="A19" s="414">
        <v>107</v>
      </c>
      <c r="B19" s="24" t="s">
        <v>206</v>
      </c>
      <c r="C19" s="26" t="str">
        <f>T(總名冊!J147)</f>
        <v>NGUYEN TUAN ANH</v>
      </c>
      <c r="D19" s="26" t="str">
        <f>T(總名冊!I147)</f>
        <v>觀光學程三</v>
      </c>
      <c r="E19" s="10"/>
      <c r="F19" s="10"/>
      <c r="G19" s="10"/>
      <c r="H19" s="10"/>
      <c r="I19" s="10"/>
      <c r="J19" s="414">
        <v>135</v>
      </c>
      <c r="K19" s="24" t="s">
        <v>206</v>
      </c>
      <c r="L19" s="26" t="e">
        <f>T(總名冊!#REF!)</f>
        <v>#REF!</v>
      </c>
      <c r="M19" s="26" t="e">
        <f>T(總名冊!#REF!)</f>
        <v>#REF!</v>
      </c>
      <c r="N19" s="10"/>
      <c r="O19" s="10"/>
      <c r="P19" s="10"/>
      <c r="Q19" s="10"/>
      <c r="R19" s="10"/>
    </row>
    <row r="20" spans="1:18" ht="25" customHeight="1" thickBot="1">
      <c r="A20" s="415"/>
      <c r="B20" s="24" t="s">
        <v>192</v>
      </c>
      <c r="C20" s="26" t="str">
        <f>T(總名冊!J148)</f>
        <v>NGUYEN MINH TRI</v>
      </c>
      <c r="D20" s="26" t="str">
        <f>T(總名冊!I148)</f>
        <v>觀光學程三</v>
      </c>
      <c r="E20" s="10"/>
      <c r="F20" s="10"/>
      <c r="G20" s="10"/>
      <c r="H20" s="10"/>
      <c r="I20" s="10"/>
      <c r="J20" s="415"/>
      <c r="K20" s="24" t="s">
        <v>192</v>
      </c>
      <c r="L20" s="26" t="str">
        <f>T(總名冊!J169)</f>
        <v>森山聖矢</v>
      </c>
      <c r="M20" s="26" t="str">
        <f>T(總名冊!I169)</f>
        <v>心理二乙</v>
      </c>
      <c r="N20" s="10"/>
      <c r="O20" s="10"/>
      <c r="P20" s="10"/>
      <c r="Q20" s="10"/>
      <c r="R20" s="10"/>
    </row>
    <row r="21" spans="1:18" ht="25" customHeight="1" thickBot="1">
      <c r="A21" s="416"/>
      <c r="B21" s="24" t="s">
        <v>207</v>
      </c>
      <c r="C21" s="26" t="str">
        <f>T(總名冊!J149)</f>
        <v>范明德</v>
      </c>
      <c r="D21" s="26" t="str">
        <f>T(總名冊!I149)</f>
        <v>應英二甲</v>
      </c>
      <c r="E21" s="10"/>
      <c r="F21" s="10"/>
      <c r="G21" s="10"/>
      <c r="H21" s="10"/>
      <c r="I21" s="10"/>
      <c r="J21" s="416"/>
      <c r="K21" s="24" t="s">
        <v>207</v>
      </c>
      <c r="L21" s="26" t="str">
        <f>T(總名冊!J170)</f>
        <v>曾永鈞</v>
      </c>
      <c r="M21" s="26" t="str">
        <f>T(總名冊!I170)</f>
        <v xml:space="preserve">生科一乙  </v>
      </c>
      <c r="N21" s="10"/>
      <c r="O21" s="10"/>
      <c r="P21" s="10"/>
      <c r="Q21" s="10"/>
      <c r="R21" s="10"/>
    </row>
    <row r="22" spans="1:18" ht="25" customHeight="1" thickBot="1">
      <c r="A22" s="414">
        <v>109</v>
      </c>
      <c r="B22" s="24" t="s">
        <v>206</v>
      </c>
      <c r="C22" s="26" t="str">
        <f>T(總名冊!J150)</f>
        <v>阮慶林</v>
      </c>
      <c r="D22" s="26" t="str">
        <f>T(總名冊!I150)</f>
        <v>生科二丙</v>
      </c>
      <c r="E22" s="10"/>
      <c r="F22" s="10"/>
      <c r="G22" s="10"/>
      <c r="H22" s="10"/>
      <c r="I22" s="10"/>
      <c r="J22" s="417">
        <v>137</v>
      </c>
      <c r="K22" s="24" t="s">
        <v>206</v>
      </c>
      <c r="L22" s="26" t="str">
        <f>T(總名冊!J88)</f>
        <v>李峻毅</v>
      </c>
      <c r="M22" s="26" t="str">
        <f>T(總名冊!I88)</f>
        <v xml:space="preserve">金融一甲  </v>
      </c>
      <c r="N22" s="10"/>
      <c r="O22" s="10"/>
      <c r="P22" s="10"/>
      <c r="Q22" s="10"/>
      <c r="R22" s="10"/>
    </row>
    <row r="23" spans="1:18" ht="25" customHeight="1" thickBot="1">
      <c r="A23" s="415"/>
      <c r="B23" s="24" t="s">
        <v>192</v>
      </c>
      <c r="C23" s="26" t="str">
        <f>T(總名冊!J151)</f>
        <v>黎聲河</v>
      </c>
      <c r="D23" s="26" t="str">
        <f>T(總名冊!I151)</f>
        <v>生科二丙</v>
      </c>
      <c r="E23" s="10"/>
      <c r="F23" s="10"/>
      <c r="G23" s="10"/>
      <c r="H23" s="10"/>
      <c r="I23" s="10"/>
      <c r="J23" s="417"/>
      <c r="K23" s="24" t="s">
        <v>192</v>
      </c>
      <c r="L23" s="26" t="e">
        <f>T(總名冊!#REF!)</f>
        <v>#REF!</v>
      </c>
      <c r="M23" s="26" t="e">
        <f>T(總名冊!#REF!)</f>
        <v>#REF!</v>
      </c>
      <c r="N23" s="10"/>
      <c r="O23" s="10"/>
      <c r="P23" s="10"/>
      <c r="Q23" s="10"/>
      <c r="R23" s="10"/>
    </row>
    <row r="24" spans="1:18" ht="25" customHeight="1" thickBot="1">
      <c r="A24" s="416"/>
      <c r="B24" s="24" t="s">
        <v>207</v>
      </c>
      <c r="C24" s="26" t="str">
        <f>T(總名冊!J152)</f>
        <v>許忠勝</v>
      </c>
      <c r="D24" s="26" t="str">
        <f>T(總名冊!I152)</f>
        <v>資訊學程一</v>
      </c>
      <c r="E24" s="10"/>
      <c r="F24" s="10"/>
      <c r="G24" s="10"/>
      <c r="H24" s="10"/>
      <c r="I24" s="10"/>
      <c r="J24" s="417"/>
      <c r="K24" s="24" t="s">
        <v>207</v>
      </c>
      <c r="L24" s="26" t="str">
        <f>T(總名冊!J173)</f>
        <v>周承威</v>
      </c>
      <c r="M24" s="26" t="str">
        <f>T(總名冊!I173)</f>
        <v xml:space="preserve">醫管一甲  </v>
      </c>
      <c r="N24" s="10"/>
      <c r="O24" s="10"/>
      <c r="P24" s="10"/>
      <c r="Q24" s="10"/>
      <c r="R24" s="10"/>
    </row>
    <row r="25" spans="1:18" ht="19" customHeight="1"/>
    <row r="26" spans="1:18" ht="19" customHeight="1"/>
    <row r="27" spans="1:18" ht="19" customHeight="1"/>
    <row r="28" spans="1:18" ht="19" customHeight="1"/>
    <row r="29" spans="1:18" ht="19" customHeight="1"/>
    <row r="30" spans="1:18" ht="19" customHeight="1"/>
    <row r="31" spans="1:18" ht="19" customHeight="1"/>
    <row r="32" spans="1:18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6" ht="4.5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</sheetData>
  <mergeCells count="23">
    <mergeCell ref="A1:R1"/>
    <mergeCell ref="A2:A3"/>
    <mergeCell ref="B2:B3"/>
    <mergeCell ref="C2:C3"/>
    <mergeCell ref="D2:D3"/>
    <mergeCell ref="J2:J3"/>
    <mergeCell ref="K2:K3"/>
    <mergeCell ref="L2:L3"/>
    <mergeCell ref="M2:M3"/>
    <mergeCell ref="A4:A6"/>
    <mergeCell ref="J4:J6"/>
    <mergeCell ref="A7:A9"/>
    <mergeCell ref="J7:J9"/>
    <mergeCell ref="A10:A12"/>
    <mergeCell ref="J10:J12"/>
    <mergeCell ref="A22:A24"/>
    <mergeCell ref="J22:J24"/>
    <mergeCell ref="A13:A15"/>
    <mergeCell ref="J13:J15"/>
    <mergeCell ref="A16:A18"/>
    <mergeCell ref="J16:J18"/>
    <mergeCell ref="A19:A21"/>
    <mergeCell ref="J19:J21"/>
  </mergeCells>
  <phoneticPr fontId="5" type="noConversion"/>
  <printOptions horizontalCentered="1" verticalCentered="1"/>
  <pageMargins left="0.11811023622047245" right="0.11811023622047245" top="0.35433070866141736" bottom="0.15748031496062992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69"/>
  <sheetViews>
    <sheetView zoomScale="70" zoomScaleNormal="70" workbookViewId="0">
      <selection activeCell="F21" sqref="F21"/>
    </sheetView>
  </sheetViews>
  <sheetFormatPr baseColWidth="10" defaultColWidth="9.19921875" defaultRowHeight="14"/>
  <cols>
    <col min="1" max="1" width="6.796875" customWidth="1"/>
    <col min="2" max="2" width="3.796875" customWidth="1"/>
    <col min="3" max="3" width="10.796875" customWidth="1"/>
    <col min="4" max="4" width="17.796875" style="18" bestFit="1" customWidth="1"/>
    <col min="5" max="9" width="8.796875" customWidth="1"/>
    <col min="10" max="10" width="6.796875" customWidth="1"/>
    <col min="11" max="11" width="3.796875" customWidth="1"/>
    <col min="12" max="12" width="11" bestFit="1" customWidth="1"/>
    <col min="13" max="13" width="17.796875" style="18" bestFit="1" customWidth="1"/>
    <col min="14" max="18" width="8.796875" customWidth="1"/>
  </cols>
  <sheetData>
    <row r="1" spans="1:18" ht="30" customHeight="1" thickBot="1">
      <c r="A1" s="421" t="s">
        <v>221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3"/>
    </row>
    <row r="2" spans="1:18" ht="25" customHeight="1" thickBot="1">
      <c r="A2" s="424" t="s">
        <v>209</v>
      </c>
      <c r="B2" s="426" t="s">
        <v>195</v>
      </c>
      <c r="C2" s="418" t="s">
        <v>201</v>
      </c>
      <c r="D2" s="418" t="s">
        <v>203</v>
      </c>
      <c r="E2" s="27" t="s">
        <v>199</v>
      </c>
      <c r="F2" s="27" t="s">
        <v>196</v>
      </c>
      <c r="G2" s="27" t="s">
        <v>197</v>
      </c>
      <c r="H2" s="27" t="s">
        <v>198</v>
      </c>
      <c r="I2" s="27" t="s">
        <v>200</v>
      </c>
      <c r="J2" s="424" t="s">
        <v>209</v>
      </c>
      <c r="K2" s="426" t="s">
        <v>195</v>
      </c>
      <c r="L2" s="418" t="s">
        <v>201</v>
      </c>
      <c r="M2" s="418" t="s">
        <v>203</v>
      </c>
      <c r="N2" s="27" t="s">
        <v>199</v>
      </c>
      <c r="O2" s="27" t="s">
        <v>196</v>
      </c>
      <c r="P2" s="27" t="s">
        <v>197</v>
      </c>
      <c r="Q2" s="27" t="s">
        <v>198</v>
      </c>
      <c r="R2" s="27" t="s">
        <v>200</v>
      </c>
    </row>
    <row r="3" spans="1:18" ht="25" customHeight="1" thickBot="1">
      <c r="A3" s="425"/>
      <c r="B3" s="427"/>
      <c r="C3" s="420"/>
      <c r="D3" s="420"/>
      <c r="E3" s="27"/>
      <c r="F3" s="27"/>
      <c r="G3" s="27"/>
      <c r="H3" s="27"/>
      <c r="I3" s="27"/>
      <c r="J3" s="425"/>
      <c r="K3" s="427"/>
      <c r="L3" s="420"/>
      <c r="M3" s="420"/>
      <c r="N3" s="27"/>
      <c r="O3" s="27"/>
      <c r="P3" s="27"/>
      <c r="Q3" s="27"/>
      <c r="R3" s="27"/>
    </row>
    <row r="4" spans="1:18" ht="25" customHeight="1" thickBot="1">
      <c r="A4" s="418">
        <v>83</v>
      </c>
      <c r="B4" s="24" t="s">
        <v>206</v>
      </c>
      <c r="C4" s="29" t="e">
        <f>T(總名冊!#REF!)</f>
        <v>#REF!</v>
      </c>
      <c r="D4" s="26" t="e">
        <f>T(總名冊!#REF!)</f>
        <v>#REF!</v>
      </c>
      <c r="E4" s="10"/>
      <c r="F4" s="10"/>
      <c r="G4" s="10"/>
      <c r="H4" s="10"/>
      <c r="I4" s="10"/>
      <c r="J4" s="414">
        <v>111</v>
      </c>
      <c r="K4" s="24" t="s">
        <v>206</v>
      </c>
      <c r="L4" s="26" t="str">
        <f>T(總名冊!J361)</f>
        <v>蘇穎慧</v>
      </c>
      <c r="M4" s="26" t="str">
        <f>T(總名冊!I361)</f>
        <v>心理諮商二</v>
      </c>
      <c r="N4" s="10"/>
      <c r="O4" s="10"/>
      <c r="P4" s="10"/>
      <c r="Q4" s="10"/>
      <c r="R4" s="10"/>
    </row>
    <row r="5" spans="1:18" ht="25" customHeight="1" thickBot="1">
      <c r="A5" s="419"/>
      <c r="B5" s="24" t="s">
        <v>192</v>
      </c>
      <c r="C5" s="29" t="str">
        <f>T(總名冊!J341)</f>
        <v>王淑華</v>
      </c>
      <c r="D5" s="26" t="str">
        <f>T(總名冊!I341)</f>
        <v>大陸老師</v>
      </c>
      <c r="E5" s="25"/>
      <c r="F5" s="25"/>
      <c r="G5" s="25"/>
      <c r="H5" s="25"/>
      <c r="I5" s="25"/>
      <c r="J5" s="415"/>
      <c r="K5" s="24" t="s">
        <v>192</v>
      </c>
      <c r="L5" s="26" t="str">
        <f>T(總名冊!J362)</f>
        <v>張恬萭</v>
      </c>
      <c r="M5" s="26" t="str">
        <f>T(總名冊!I362)</f>
        <v xml:space="preserve">金融一甲  </v>
      </c>
      <c r="N5" s="10"/>
      <c r="O5" s="10"/>
      <c r="P5" s="10"/>
      <c r="Q5" s="10"/>
      <c r="R5" s="10"/>
    </row>
    <row r="6" spans="1:18" ht="25" customHeight="1" thickBot="1">
      <c r="A6" s="420"/>
      <c r="B6" s="24" t="s">
        <v>207</v>
      </c>
      <c r="C6" s="28" t="str">
        <f>T(總名冊!J342)</f>
        <v>王淑華</v>
      </c>
      <c r="D6" s="26" t="str">
        <f>T(總名冊!I342)</f>
        <v>大陸老師</v>
      </c>
      <c r="E6" s="10"/>
      <c r="F6" s="10"/>
      <c r="G6" s="10"/>
      <c r="H6" s="10"/>
      <c r="I6" s="10"/>
      <c r="J6" s="416"/>
      <c r="K6" s="24" t="s">
        <v>207</v>
      </c>
      <c r="L6" s="26" t="str">
        <f>T(總名冊!J363)</f>
        <v>郭芯安</v>
      </c>
      <c r="M6" s="26" t="str">
        <f>T(總名冊!I363)</f>
        <v>犯防二甲</v>
      </c>
      <c r="N6" s="10"/>
      <c r="O6" s="10"/>
      <c r="P6" s="10"/>
      <c r="Q6" s="10"/>
      <c r="R6" s="10"/>
    </row>
    <row r="7" spans="1:18" ht="25" customHeight="1" thickBot="1">
      <c r="A7" s="414">
        <v>85</v>
      </c>
      <c r="B7" s="24" t="s">
        <v>206</v>
      </c>
      <c r="C7" s="26" t="str">
        <f>T(總名冊!J343)</f>
        <v>楊  豔</v>
      </c>
      <c r="D7" s="26" t="str">
        <f>T(總名冊!I343)</f>
        <v>大陸老師</v>
      </c>
      <c r="E7" s="10"/>
      <c r="F7" s="10"/>
      <c r="G7" s="10"/>
      <c r="H7" s="10"/>
      <c r="I7" s="10"/>
      <c r="J7" s="414">
        <v>113</v>
      </c>
      <c r="K7" s="24" t="s">
        <v>206</v>
      </c>
      <c r="L7" s="26" t="str">
        <f>T(總名冊!J364)</f>
        <v>劉向容</v>
      </c>
      <c r="M7" s="26" t="str">
        <f>T(總名冊!I364)</f>
        <v xml:space="preserve">應日一甲  </v>
      </c>
      <c r="N7" s="10"/>
      <c r="O7" s="10"/>
      <c r="P7" s="10"/>
      <c r="Q7" s="10"/>
      <c r="R7" s="10"/>
    </row>
    <row r="8" spans="1:18" ht="25" customHeight="1" thickBot="1">
      <c r="A8" s="415"/>
      <c r="B8" s="24" t="s">
        <v>192</v>
      </c>
      <c r="C8" s="26" t="str">
        <f>T(總名冊!J344)</f>
        <v>楊  豔</v>
      </c>
      <c r="D8" s="26" t="str">
        <f>T(總名冊!I344)</f>
        <v>大陸老師</v>
      </c>
      <c r="E8" s="10"/>
      <c r="F8" s="10"/>
      <c r="G8" s="10"/>
      <c r="H8" s="10"/>
      <c r="I8" s="10"/>
      <c r="J8" s="415"/>
      <c r="K8" s="24" t="s">
        <v>192</v>
      </c>
      <c r="L8" s="26" t="e">
        <f>T(總名冊!#REF!)</f>
        <v>#REF!</v>
      </c>
      <c r="M8" s="26" t="str">
        <f>T(總名冊!I365)</f>
        <v xml:space="preserve">品設一甲  </v>
      </c>
      <c r="N8" s="10"/>
      <c r="O8" s="10"/>
      <c r="P8" s="10"/>
      <c r="Q8" s="10"/>
      <c r="R8" s="10"/>
    </row>
    <row r="9" spans="1:18" ht="25" customHeight="1" thickBot="1">
      <c r="A9" s="416"/>
      <c r="B9" s="24" t="s">
        <v>207</v>
      </c>
      <c r="C9" s="26" t="str">
        <f>T(總名冊!J345)</f>
        <v>楊  豔</v>
      </c>
      <c r="D9" s="26" t="str">
        <f>T(總名冊!I345)</f>
        <v>大陸老師</v>
      </c>
      <c r="E9" s="10"/>
      <c r="F9" s="10"/>
      <c r="G9" s="10"/>
      <c r="H9" s="10"/>
      <c r="I9" s="10"/>
      <c r="J9" s="416"/>
      <c r="K9" s="24" t="s">
        <v>207</v>
      </c>
      <c r="L9" s="26" t="str">
        <f>T(總名冊!J340)</f>
        <v>王淑華</v>
      </c>
      <c r="M9" s="26" t="str">
        <f>T(總名冊!I340)</f>
        <v>大陸老師</v>
      </c>
      <c r="N9" s="10"/>
      <c r="O9" s="10"/>
      <c r="P9" s="10"/>
      <c r="Q9" s="10"/>
      <c r="R9" s="10"/>
    </row>
    <row r="10" spans="1:18" ht="25" customHeight="1" thickBot="1">
      <c r="A10" s="414">
        <v>87</v>
      </c>
      <c r="B10" s="24" t="s">
        <v>206</v>
      </c>
      <c r="C10" s="26" t="str">
        <f>T(總名冊!J346)</f>
        <v>周子蘊</v>
      </c>
      <c r="D10" s="26" t="str">
        <f>T(總名冊!I346)</f>
        <v>建築三甲</v>
      </c>
      <c r="E10" s="10"/>
      <c r="F10" s="10"/>
      <c r="G10" s="10"/>
      <c r="H10" s="10"/>
      <c r="I10" s="10"/>
      <c r="J10" s="414">
        <v>115</v>
      </c>
      <c r="K10" s="24" t="s">
        <v>206</v>
      </c>
      <c r="L10" s="26" t="str">
        <f>T(總名冊!J367)</f>
        <v>吳雨臻</v>
      </c>
      <c r="M10" s="26" t="str">
        <f>T(總名冊!I367)</f>
        <v xml:space="preserve">犯防一甲  </v>
      </c>
      <c r="N10" s="10"/>
      <c r="O10" s="10"/>
      <c r="P10" s="10"/>
      <c r="Q10" s="10"/>
      <c r="R10" s="10"/>
    </row>
    <row r="11" spans="1:18" ht="25" customHeight="1" thickBot="1">
      <c r="A11" s="415"/>
      <c r="B11" s="24" t="s">
        <v>192</v>
      </c>
      <c r="C11" s="26" t="str">
        <f>T(總名冊!J347)</f>
        <v>李維岩</v>
      </c>
      <c r="D11" s="26" t="str">
        <f>T(總名冊!I347)</f>
        <v>數媒三甲</v>
      </c>
      <c r="E11" s="10"/>
      <c r="F11" s="10"/>
      <c r="G11" s="10"/>
      <c r="H11" s="10"/>
      <c r="I11" s="10"/>
      <c r="J11" s="415"/>
      <c r="K11" s="24" t="s">
        <v>192</v>
      </c>
      <c r="L11" s="26" t="str">
        <f>T(總名冊!J368)</f>
        <v>李梓寧</v>
      </c>
      <c r="M11" s="26" t="str">
        <f>T(總名冊!I368)</f>
        <v xml:space="preserve">犯防一乙  </v>
      </c>
      <c r="N11" s="10"/>
      <c r="O11" s="10"/>
      <c r="P11" s="10"/>
      <c r="Q11" s="10"/>
      <c r="R11" s="10"/>
    </row>
    <row r="12" spans="1:18" ht="25" customHeight="1" thickBot="1">
      <c r="A12" s="416"/>
      <c r="B12" s="24" t="s">
        <v>207</v>
      </c>
      <c r="C12" s="26" t="str">
        <f>T([1]退宿人員!E20)</f>
        <v>李宜娟</v>
      </c>
      <c r="D12" s="26" t="str">
        <f>T([1]退宿人員!D20)</f>
        <v xml:space="preserve">華教一甲  </v>
      </c>
      <c r="E12" s="10"/>
      <c r="F12" s="10"/>
      <c r="G12" s="10"/>
      <c r="H12" s="10"/>
      <c r="I12" s="10"/>
      <c r="J12" s="416"/>
      <c r="K12" s="24" t="s">
        <v>207</v>
      </c>
      <c r="L12" s="26" t="str">
        <f>T(總名冊!J369)</f>
        <v>黃珮柔</v>
      </c>
      <c r="M12" s="26" t="str">
        <f>T(總名冊!I369)</f>
        <v xml:space="preserve">生科一甲  </v>
      </c>
      <c r="N12" s="10"/>
      <c r="O12" s="10"/>
      <c r="P12" s="10"/>
      <c r="Q12" s="10"/>
      <c r="R12" s="10"/>
    </row>
    <row r="13" spans="1:18" ht="25" customHeight="1" thickBot="1">
      <c r="A13" s="414">
        <v>89</v>
      </c>
      <c r="B13" s="24" t="s">
        <v>206</v>
      </c>
      <c r="C13" s="26" t="str">
        <f>T(總名冊!J349)</f>
        <v>陳藝丹</v>
      </c>
      <c r="D13" s="26" t="str">
        <f>T(總名冊!I349)</f>
        <v>公行三甲</v>
      </c>
      <c r="E13" s="10"/>
      <c r="F13" s="10"/>
      <c r="G13" s="10"/>
      <c r="H13" s="10"/>
      <c r="I13" s="10"/>
      <c r="J13" s="414">
        <v>117</v>
      </c>
      <c r="K13" s="24" t="s">
        <v>206</v>
      </c>
      <c r="L13" s="26" t="str">
        <f>T(總名冊!J370)</f>
        <v>楊淯棋</v>
      </c>
      <c r="M13" s="26" t="str">
        <f>T(總名冊!I370)</f>
        <v>人智二乙</v>
      </c>
      <c r="N13" s="10"/>
      <c r="O13" s="10"/>
      <c r="P13" s="10"/>
      <c r="Q13" s="10"/>
      <c r="R13" s="10"/>
    </row>
    <row r="14" spans="1:18" ht="25" customHeight="1" thickBot="1">
      <c r="A14" s="415"/>
      <c r="B14" s="24" t="s">
        <v>192</v>
      </c>
      <c r="C14" s="29" t="str">
        <f>T(總名冊!J350)</f>
        <v>宋佳夢</v>
      </c>
      <c r="D14" s="26" t="str">
        <f>T(總名冊!I350)</f>
        <v>餐旅二甲</v>
      </c>
      <c r="E14" s="10"/>
      <c r="F14" s="10"/>
      <c r="G14" s="10"/>
      <c r="H14" s="10"/>
      <c r="I14" s="10"/>
      <c r="J14" s="415"/>
      <c r="K14" s="24" t="s">
        <v>192</v>
      </c>
      <c r="L14" s="26" t="str">
        <f>T(總名冊!J371)</f>
        <v>林筱軒</v>
      </c>
      <c r="M14" s="26" t="str">
        <f>T(總名冊!I371)</f>
        <v>數媒三甲</v>
      </c>
      <c r="N14" s="10"/>
      <c r="O14" s="10"/>
      <c r="P14" s="10"/>
      <c r="Q14" s="10"/>
      <c r="R14" s="10"/>
    </row>
    <row r="15" spans="1:18" ht="25" customHeight="1" thickBot="1">
      <c r="A15" s="416"/>
      <c r="B15" s="24" t="s">
        <v>207</v>
      </c>
      <c r="C15" s="29" t="str">
        <f>T(總名冊!J351)</f>
        <v>黃紫涵</v>
      </c>
      <c r="D15" s="26" t="str">
        <f>T(總名冊!I351)</f>
        <v>商設二甲</v>
      </c>
      <c r="E15" s="10"/>
      <c r="F15" s="10"/>
      <c r="G15" s="10"/>
      <c r="H15" s="10"/>
      <c r="I15" s="10"/>
      <c r="J15" s="416"/>
      <c r="K15" s="24" t="s">
        <v>207</v>
      </c>
      <c r="L15" s="26" t="e">
        <f>T(總名冊!#REF!)</f>
        <v>#REF!</v>
      </c>
      <c r="M15" s="26" t="e">
        <f>T(總名冊!#REF!)</f>
        <v>#REF!</v>
      </c>
      <c r="N15" s="10"/>
      <c r="O15" s="10"/>
      <c r="P15" s="10"/>
      <c r="Q15" s="10"/>
      <c r="R15" s="10"/>
    </row>
    <row r="16" spans="1:18" ht="25" customHeight="1" thickBot="1">
      <c r="A16" s="414">
        <v>91</v>
      </c>
      <c r="B16" s="24" t="s">
        <v>206</v>
      </c>
      <c r="C16" s="26" t="str">
        <f>T(總名冊!J365)</f>
        <v>鄒佑姗</v>
      </c>
      <c r="D16" s="26" t="str">
        <f>T(總名冊!I352)</f>
        <v xml:space="preserve">觀光三甲  </v>
      </c>
      <c r="E16" s="10"/>
      <c r="F16" s="10"/>
      <c r="G16" s="10"/>
      <c r="H16" s="10"/>
      <c r="I16" s="10"/>
      <c r="J16" s="414">
        <v>119</v>
      </c>
      <c r="K16" s="24" t="s">
        <v>206</v>
      </c>
      <c r="L16" s="26" t="str">
        <f>T(總名冊!J373)</f>
        <v>戴宜貞</v>
      </c>
      <c r="M16" s="26" t="str">
        <f>T(總名冊!I373)</f>
        <v xml:space="preserve">醫管一乙  </v>
      </c>
      <c r="N16" s="10"/>
      <c r="O16" s="10"/>
      <c r="P16" s="10"/>
      <c r="Q16" s="10"/>
      <c r="R16" s="10"/>
    </row>
    <row r="17" spans="1:18" ht="25" customHeight="1" thickBot="1">
      <c r="A17" s="415"/>
      <c r="B17" s="24" t="s">
        <v>192</v>
      </c>
      <c r="C17" s="26" t="str">
        <f>T(總名冊!J353)</f>
        <v>邵瀟瀅</v>
      </c>
      <c r="D17" s="26" t="str">
        <f>T(總名冊!I353)</f>
        <v xml:space="preserve">觀光三甲  </v>
      </c>
      <c r="E17" s="10"/>
      <c r="F17" s="10"/>
      <c r="G17" s="10"/>
      <c r="H17" s="10"/>
      <c r="I17" s="10"/>
      <c r="J17" s="415"/>
      <c r="K17" s="24" t="s">
        <v>192</v>
      </c>
      <c r="L17" s="26" t="str">
        <f>T(總名冊!J374)</f>
        <v>葉柔玗</v>
      </c>
      <c r="M17" s="26" t="str">
        <f>T(總名冊!I374)</f>
        <v xml:space="preserve">資管四丙  </v>
      </c>
      <c r="N17" s="10"/>
      <c r="O17" s="10"/>
      <c r="P17" s="10"/>
      <c r="Q17" s="10"/>
      <c r="R17" s="10"/>
    </row>
    <row r="18" spans="1:18" ht="25" customHeight="1" thickBot="1">
      <c r="A18" s="416"/>
      <c r="B18" s="24" t="s">
        <v>207</v>
      </c>
      <c r="C18" s="26" t="str">
        <f>T(總名冊!J354)</f>
        <v>舒靜逸</v>
      </c>
      <c r="D18" s="26" t="str">
        <f>T(總名冊!I354)</f>
        <v xml:space="preserve">觀光三甲  </v>
      </c>
      <c r="E18" s="10"/>
      <c r="F18" s="10"/>
      <c r="G18" s="10"/>
      <c r="H18" s="10"/>
      <c r="I18" s="10"/>
      <c r="J18" s="416"/>
      <c r="K18" s="24" t="s">
        <v>207</v>
      </c>
      <c r="L18" s="26" t="str">
        <f>T(總名冊!J375)</f>
        <v>何翠華</v>
      </c>
      <c r="M18" s="26" t="str">
        <f>T(總名冊!I375)</f>
        <v xml:space="preserve">資管四甲  </v>
      </c>
      <c r="N18" s="25"/>
      <c r="O18" s="25"/>
      <c r="P18" s="25"/>
      <c r="Q18" s="25"/>
      <c r="R18" s="25"/>
    </row>
    <row r="19" spans="1:18" ht="25" customHeight="1" thickBot="1">
      <c r="A19" s="414">
        <v>93</v>
      </c>
      <c r="B19" s="24" t="s">
        <v>206</v>
      </c>
      <c r="C19" s="26" t="str">
        <f>T(總名冊!J352)</f>
        <v>張怡明</v>
      </c>
      <c r="D19" s="26" t="str">
        <f>T(總名冊!I355)</f>
        <v>品設二甲</v>
      </c>
      <c r="E19" s="10"/>
      <c r="F19" s="10"/>
      <c r="G19" s="10"/>
      <c r="H19" s="10"/>
      <c r="I19" s="10"/>
      <c r="J19" s="414">
        <v>121</v>
      </c>
      <c r="K19" s="24" t="s">
        <v>206</v>
      </c>
      <c r="L19" s="26" t="str">
        <f>T(總名冊!J376)</f>
        <v>張詠婷</v>
      </c>
      <c r="M19" s="26" t="str">
        <f>T(總名冊!I376)</f>
        <v>心理三乙</v>
      </c>
      <c r="N19" s="10"/>
      <c r="O19" s="10"/>
      <c r="P19" s="10"/>
      <c r="Q19" s="10"/>
      <c r="R19" s="10"/>
    </row>
    <row r="20" spans="1:18" ht="25" customHeight="1" thickBot="1">
      <c r="A20" s="415"/>
      <c r="B20" s="24" t="s">
        <v>192</v>
      </c>
      <c r="C20" s="26" t="str">
        <f>T(總名冊!J357)</f>
        <v>黃雅文</v>
      </c>
      <c r="D20" s="26" t="str">
        <f>T(總名冊!I357)</f>
        <v>觀光二甲</v>
      </c>
      <c r="E20" s="10"/>
      <c r="F20" s="10"/>
      <c r="G20" s="10"/>
      <c r="H20" s="10"/>
      <c r="I20" s="10"/>
      <c r="J20" s="415"/>
      <c r="K20" s="24" t="s">
        <v>192</v>
      </c>
      <c r="L20" s="26" t="str">
        <f>T(總名冊!J377)</f>
        <v>黃芊穎</v>
      </c>
      <c r="M20" s="26" t="str">
        <f>T(總名冊!I377)</f>
        <v xml:space="preserve">心理三甲  </v>
      </c>
      <c r="N20" s="10"/>
      <c r="O20" s="10"/>
      <c r="P20" s="10"/>
      <c r="Q20" s="10"/>
      <c r="R20" s="10"/>
    </row>
    <row r="21" spans="1:18" ht="25" customHeight="1" thickBot="1">
      <c r="A21" s="416"/>
      <c r="B21" s="24" t="s">
        <v>207</v>
      </c>
      <c r="C21" s="26" t="str">
        <f>T(總名冊!J355)</f>
        <v>彭思桃</v>
      </c>
      <c r="D21" s="26" t="e">
        <f>T(總名冊!#REF!)</f>
        <v>#REF!</v>
      </c>
      <c r="E21" s="10"/>
      <c r="F21" s="10"/>
      <c r="G21" s="10"/>
      <c r="H21" s="10"/>
      <c r="I21" s="10"/>
      <c r="J21" s="416"/>
      <c r="K21" s="24" t="s">
        <v>207</v>
      </c>
      <c r="L21" s="26" t="str">
        <f>T(總名冊!J378)</f>
        <v>饒嘉倚</v>
      </c>
      <c r="M21" s="26" t="str">
        <f>T(總名冊!I378)</f>
        <v>數媒三甲</v>
      </c>
      <c r="N21" s="10"/>
      <c r="O21" s="10"/>
      <c r="P21" s="10"/>
      <c r="Q21" s="10"/>
      <c r="R21" s="10"/>
    </row>
    <row r="22" spans="1:18" ht="25" customHeight="1" thickBot="1">
      <c r="A22" s="414">
        <v>95</v>
      </c>
      <c r="B22" s="24" t="s">
        <v>206</v>
      </c>
      <c r="C22" s="26" t="str">
        <f>T(總名冊!J358)</f>
        <v>許以潔</v>
      </c>
      <c r="D22" s="26" t="str">
        <f>T(總名冊!I358)</f>
        <v>心理二甲</v>
      </c>
      <c r="E22" s="10"/>
      <c r="F22" s="10"/>
      <c r="G22" s="10"/>
      <c r="H22" s="10"/>
      <c r="I22" s="10"/>
      <c r="J22" s="417">
        <v>123</v>
      </c>
      <c r="K22" s="24" t="s">
        <v>206</v>
      </c>
      <c r="L22" s="26" t="str">
        <f>T(總名冊!J379)</f>
        <v>林子琳</v>
      </c>
      <c r="M22" s="26" t="str">
        <f>T(總名冊!I379)</f>
        <v xml:space="preserve">公行二甲  </v>
      </c>
      <c r="N22" s="10"/>
      <c r="O22" s="10"/>
      <c r="P22" s="10"/>
      <c r="Q22" s="10"/>
      <c r="R22" s="10"/>
    </row>
    <row r="23" spans="1:18" ht="25" customHeight="1" thickBot="1">
      <c r="A23" s="415"/>
      <c r="B23" s="24" t="s">
        <v>192</v>
      </c>
      <c r="C23" s="26" t="str">
        <f>T(總名冊!J359)</f>
        <v>黃婷苡</v>
      </c>
      <c r="D23" s="26" t="str">
        <f>T(總名冊!I359)</f>
        <v>醫工二甲</v>
      </c>
      <c r="E23" s="10"/>
      <c r="F23" s="10"/>
      <c r="G23" s="10"/>
      <c r="H23" s="10"/>
      <c r="I23" s="10"/>
      <c r="J23" s="417"/>
      <c r="K23" s="24" t="s">
        <v>192</v>
      </c>
      <c r="L23" s="26" t="str">
        <f>T(總名冊!J380)</f>
        <v>陳佩沂</v>
      </c>
      <c r="M23" s="26" t="str">
        <f>T(總名冊!I380)</f>
        <v xml:space="preserve">資管二甲  </v>
      </c>
      <c r="N23" s="10"/>
      <c r="O23" s="10"/>
      <c r="P23" s="10"/>
      <c r="Q23" s="10"/>
      <c r="R23" s="10"/>
    </row>
    <row r="24" spans="1:18" ht="25" customHeight="1" thickBot="1">
      <c r="A24" s="416"/>
      <c r="B24" s="24" t="s">
        <v>207</v>
      </c>
      <c r="C24" s="26" t="str">
        <f>T(總名冊!J360)</f>
        <v>陳沛凡</v>
      </c>
      <c r="D24" s="26" t="str">
        <f>T(總名冊!I360)</f>
        <v xml:space="preserve">應日二甲  </v>
      </c>
      <c r="E24" s="10"/>
      <c r="F24" s="10"/>
      <c r="G24" s="10"/>
      <c r="H24" s="10"/>
      <c r="I24" s="10"/>
      <c r="J24" s="417"/>
      <c r="K24" s="24" t="s">
        <v>207</v>
      </c>
      <c r="L24" s="26" t="str">
        <f>T(總名冊!J381)</f>
        <v>閔裔宸</v>
      </c>
      <c r="M24" s="26" t="str">
        <f>T(總名冊!I381)</f>
        <v>資管三丙</v>
      </c>
      <c r="N24" s="10"/>
      <c r="O24" s="10"/>
      <c r="P24" s="10"/>
      <c r="Q24" s="10"/>
      <c r="R24" s="10"/>
    </row>
    <row r="25" spans="1:18" ht="19" customHeight="1"/>
    <row r="26" spans="1:18" ht="19" customHeight="1"/>
    <row r="27" spans="1:18" ht="19" customHeight="1"/>
    <row r="28" spans="1:18" ht="19" customHeight="1"/>
    <row r="29" spans="1:18" ht="19" customHeight="1"/>
    <row r="30" spans="1:18" ht="19" customHeight="1"/>
    <row r="31" spans="1:18" ht="19" customHeight="1"/>
    <row r="32" spans="1:18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6" ht="4.5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</sheetData>
  <mergeCells count="23">
    <mergeCell ref="A1:R1"/>
    <mergeCell ref="A2:A3"/>
    <mergeCell ref="B2:B3"/>
    <mergeCell ref="C2:C3"/>
    <mergeCell ref="D2:D3"/>
    <mergeCell ref="J2:J3"/>
    <mergeCell ref="K2:K3"/>
    <mergeCell ref="L2:L3"/>
    <mergeCell ref="M2:M3"/>
    <mergeCell ref="A4:A6"/>
    <mergeCell ref="J4:J6"/>
    <mergeCell ref="A7:A9"/>
    <mergeCell ref="J7:J9"/>
    <mergeCell ref="A10:A12"/>
    <mergeCell ref="J10:J12"/>
    <mergeCell ref="A22:A24"/>
    <mergeCell ref="J22:J24"/>
    <mergeCell ref="A13:A15"/>
    <mergeCell ref="J13:J15"/>
    <mergeCell ref="A16:A18"/>
    <mergeCell ref="J16:J18"/>
    <mergeCell ref="A19:A21"/>
    <mergeCell ref="J19:J21"/>
  </mergeCells>
  <phoneticPr fontId="5" type="noConversion"/>
  <printOptions horizontalCentered="1" verticalCentered="1"/>
  <pageMargins left="0.11811023622047245" right="0.11811023622047245" top="0.35433070866141736" bottom="0.15748031496062992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69"/>
  <sheetViews>
    <sheetView zoomScale="70" zoomScaleNormal="70" workbookViewId="0">
      <selection activeCell="F21" sqref="F21"/>
    </sheetView>
  </sheetViews>
  <sheetFormatPr baseColWidth="10" defaultColWidth="9.19921875" defaultRowHeight="14"/>
  <cols>
    <col min="1" max="1" width="6.796875" customWidth="1"/>
    <col min="2" max="2" width="3.796875" customWidth="1"/>
    <col min="3" max="3" width="10.796875" customWidth="1"/>
    <col min="4" max="4" width="17.796875" style="18" bestFit="1" customWidth="1"/>
    <col min="5" max="9" width="8.796875" customWidth="1"/>
    <col min="10" max="10" width="6.796875" customWidth="1"/>
    <col min="11" max="11" width="3.796875" customWidth="1"/>
    <col min="12" max="12" width="10.796875" customWidth="1"/>
    <col min="13" max="13" width="17.796875" style="18" bestFit="1" customWidth="1"/>
    <col min="14" max="18" width="8.796875" customWidth="1"/>
  </cols>
  <sheetData>
    <row r="1" spans="1:18" ht="30" customHeight="1" thickBot="1">
      <c r="A1" s="421" t="s">
        <v>214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3"/>
    </row>
    <row r="2" spans="1:18" ht="25" customHeight="1" thickBot="1">
      <c r="A2" s="424" t="s">
        <v>215</v>
      </c>
      <c r="B2" s="426" t="s">
        <v>195</v>
      </c>
      <c r="C2" s="418" t="s">
        <v>201</v>
      </c>
      <c r="D2" s="418" t="s">
        <v>203</v>
      </c>
      <c r="E2" s="27" t="s">
        <v>199</v>
      </c>
      <c r="F2" s="27" t="s">
        <v>196</v>
      </c>
      <c r="G2" s="27" t="s">
        <v>197</v>
      </c>
      <c r="H2" s="27" t="s">
        <v>198</v>
      </c>
      <c r="I2" s="27" t="s">
        <v>200</v>
      </c>
      <c r="J2" s="424" t="s">
        <v>215</v>
      </c>
      <c r="K2" s="426" t="s">
        <v>195</v>
      </c>
      <c r="L2" s="418" t="s">
        <v>201</v>
      </c>
      <c r="M2" s="418" t="s">
        <v>203</v>
      </c>
      <c r="N2" s="27" t="s">
        <v>199</v>
      </c>
      <c r="O2" s="27" t="s">
        <v>196</v>
      </c>
      <c r="P2" s="27" t="s">
        <v>197</v>
      </c>
      <c r="Q2" s="27" t="s">
        <v>198</v>
      </c>
      <c r="R2" s="27" t="s">
        <v>200</v>
      </c>
    </row>
    <row r="3" spans="1:18" ht="25" customHeight="1" thickBot="1">
      <c r="A3" s="425"/>
      <c r="B3" s="427"/>
      <c r="C3" s="420"/>
      <c r="D3" s="420"/>
      <c r="E3" s="27"/>
      <c r="F3" s="27"/>
      <c r="G3" s="27"/>
      <c r="H3" s="27"/>
      <c r="I3" s="27"/>
      <c r="J3" s="425"/>
      <c r="K3" s="427"/>
      <c r="L3" s="420"/>
      <c r="M3" s="420"/>
      <c r="N3" s="27"/>
      <c r="O3" s="27"/>
      <c r="P3" s="27"/>
      <c r="Q3" s="27"/>
      <c r="R3" s="27"/>
    </row>
    <row r="4" spans="1:18" ht="25" customHeight="1" thickBot="1">
      <c r="A4" s="418">
        <v>97</v>
      </c>
      <c r="B4" s="24" t="s">
        <v>206</v>
      </c>
      <c r="C4" s="26" t="e">
        <f>T(總名冊!#REF!)</f>
        <v>#REF!</v>
      </c>
      <c r="D4" s="26" t="e">
        <f>T(總名冊!#REF!)</f>
        <v>#REF!</v>
      </c>
      <c r="E4" s="10"/>
      <c r="F4" s="10"/>
      <c r="G4" s="10"/>
      <c r="H4" s="10"/>
      <c r="I4" s="10"/>
      <c r="J4" s="414">
        <v>125</v>
      </c>
      <c r="K4" s="24" t="s">
        <v>206</v>
      </c>
      <c r="L4" s="26" t="str">
        <f>T(總名冊!J195)</f>
        <v>劉睿恩</v>
      </c>
      <c r="M4" s="26" t="str">
        <f>T(總名冊!I195)</f>
        <v>商設一乙</v>
      </c>
      <c r="N4" s="10"/>
      <c r="O4" s="10"/>
      <c r="P4" s="10"/>
      <c r="Q4" s="10"/>
      <c r="R4" s="10"/>
    </row>
    <row r="5" spans="1:18" ht="25" customHeight="1" thickBot="1">
      <c r="A5" s="419"/>
      <c r="B5" s="24" t="s">
        <v>192</v>
      </c>
      <c r="C5" s="26" t="str">
        <f>T(總名冊!J175)</f>
        <v>邱柏睿</v>
      </c>
      <c r="D5" s="26" t="str">
        <f>T(總名冊!I175)</f>
        <v xml:space="preserve">應日一乙  </v>
      </c>
      <c r="E5" s="25"/>
      <c r="F5" s="25"/>
      <c r="G5" s="25"/>
      <c r="H5" s="25"/>
      <c r="I5" s="25"/>
      <c r="J5" s="415"/>
      <c r="K5" s="24" t="s">
        <v>192</v>
      </c>
      <c r="L5" s="26" t="str">
        <f>T(總名冊!J196)</f>
        <v>邱友宸</v>
      </c>
      <c r="M5" s="26" t="str">
        <f>T(總名冊!I196)</f>
        <v>文華一甲</v>
      </c>
      <c r="N5" s="10"/>
      <c r="O5" s="10"/>
      <c r="P5" s="10"/>
      <c r="Q5" s="10"/>
      <c r="R5" s="10"/>
    </row>
    <row r="6" spans="1:18" ht="25" customHeight="1" thickBot="1">
      <c r="A6" s="420"/>
      <c r="B6" s="24" t="s">
        <v>207</v>
      </c>
      <c r="C6" s="26" t="str">
        <f>T(總名冊!J47)</f>
        <v>陳信全</v>
      </c>
      <c r="D6" s="26" t="str">
        <f>T(總名冊!I47)</f>
        <v xml:space="preserve">心理一乙  </v>
      </c>
      <c r="E6" s="10"/>
      <c r="F6" s="10"/>
      <c r="G6" s="10"/>
      <c r="H6" s="10"/>
      <c r="I6" s="10"/>
      <c r="J6" s="416"/>
      <c r="K6" s="24" t="s">
        <v>207</v>
      </c>
      <c r="L6" s="26" t="str">
        <f>T(總名冊!J197)</f>
        <v>粘松晏</v>
      </c>
      <c r="M6" s="26" t="str">
        <f>T(總名冊!I197)</f>
        <v>電機一丙</v>
      </c>
      <c r="N6" s="10"/>
      <c r="O6" s="10"/>
      <c r="P6" s="10"/>
      <c r="Q6" s="10"/>
      <c r="R6" s="10"/>
    </row>
    <row r="7" spans="1:18" ht="25" customHeight="1" thickBot="1">
      <c r="A7" s="414">
        <v>99</v>
      </c>
      <c r="B7" s="24" t="s">
        <v>206</v>
      </c>
      <c r="C7" s="26" t="str">
        <f>T(總名冊!J177)</f>
        <v>李承叡</v>
      </c>
      <c r="D7" s="26" t="str">
        <f>T(總名冊!I177)</f>
        <v>心理二甲</v>
      </c>
      <c r="E7" s="10"/>
      <c r="F7" s="10"/>
      <c r="G7" s="10"/>
      <c r="H7" s="10"/>
      <c r="I7" s="10"/>
      <c r="J7" s="414">
        <v>127</v>
      </c>
      <c r="K7" s="24" t="s">
        <v>206</v>
      </c>
      <c r="L7" s="26" t="str">
        <f>T(總名冊!J198)</f>
        <v>林潤地</v>
      </c>
      <c r="M7" s="26" t="str">
        <f>T(總名冊!I198)</f>
        <v>電機一丙</v>
      </c>
      <c r="N7" s="10"/>
      <c r="O7" s="10"/>
      <c r="P7" s="10"/>
      <c r="Q7" s="10"/>
      <c r="R7" s="10"/>
    </row>
    <row r="8" spans="1:18" ht="25" customHeight="1" thickBot="1">
      <c r="A8" s="415"/>
      <c r="B8" s="24" t="s">
        <v>192</v>
      </c>
      <c r="C8" s="26" t="str">
        <f>T(總名冊!J178)</f>
        <v>許哲惟</v>
      </c>
      <c r="D8" s="26" t="str">
        <f>T(總名冊!I178)</f>
        <v>電機二甲</v>
      </c>
      <c r="E8" s="10"/>
      <c r="F8" s="10"/>
      <c r="G8" s="10"/>
      <c r="H8" s="10"/>
      <c r="I8" s="10"/>
      <c r="J8" s="415"/>
      <c r="K8" s="24" t="s">
        <v>192</v>
      </c>
      <c r="L8" s="26" t="str">
        <f>T(總名冊!J199)</f>
        <v>賴柏豪</v>
      </c>
      <c r="M8" s="26" t="str">
        <f>T(總名冊!I199)</f>
        <v>電機一甲</v>
      </c>
      <c r="N8" s="10"/>
      <c r="O8" s="10"/>
      <c r="P8" s="10"/>
      <c r="Q8" s="10"/>
      <c r="R8" s="10"/>
    </row>
    <row r="9" spans="1:18" ht="25" customHeight="1" thickBot="1">
      <c r="A9" s="416"/>
      <c r="B9" s="24" t="s">
        <v>207</v>
      </c>
      <c r="C9" s="26" t="str">
        <f>T(總名冊!J179)</f>
        <v>張頌恩</v>
      </c>
      <c r="D9" s="26" t="str">
        <f>T(總名冊!I179)</f>
        <v>資工四乙</v>
      </c>
      <c r="E9" s="10"/>
      <c r="F9" s="10"/>
      <c r="G9" s="10"/>
      <c r="H9" s="10"/>
      <c r="I9" s="10"/>
      <c r="J9" s="416"/>
      <c r="K9" s="24" t="s">
        <v>207</v>
      </c>
      <c r="L9" s="26" t="str">
        <f>T(總名冊!J200)</f>
        <v>陳冠憲</v>
      </c>
      <c r="M9" s="26" t="str">
        <f>T(總名冊!I200)</f>
        <v>數媒二甲</v>
      </c>
      <c r="N9" s="10"/>
      <c r="O9" s="10"/>
      <c r="P9" s="10"/>
      <c r="Q9" s="10"/>
      <c r="R9" s="10"/>
    </row>
    <row r="10" spans="1:18" ht="25" customHeight="1" thickBot="1">
      <c r="A10" s="414">
        <v>101</v>
      </c>
      <c r="B10" s="24" t="s">
        <v>206</v>
      </c>
      <c r="C10" s="26" t="str">
        <f>T(總名冊!J180)</f>
        <v>李祐丞</v>
      </c>
      <c r="D10" s="26" t="str">
        <f>T(總名冊!I180)</f>
        <v>資工二甲</v>
      </c>
      <c r="E10" s="10"/>
      <c r="F10" s="10"/>
      <c r="G10" s="10"/>
      <c r="H10" s="10"/>
      <c r="I10" s="10"/>
      <c r="J10" s="414">
        <v>129</v>
      </c>
      <c r="K10" s="24" t="s">
        <v>206</v>
      </c>
      <c r="L10" s="26" t="str">
        <f>T(總名冊!J201)</f>
        <v>陳泓儒</v>
      </c>
      <c r="M10" s="26" t="str">
        <f>T(總名冊!I201)</f>
        <v>醫工二甲</v>
      </c>
      <c r="N10" s="10"/>
      <c r="O10" s="10"/>
      <c r="P10" s="10"/>
      <c r="Q10" s="10"/>
      <c r="R10" s="10"/>
    </row>
    <row r="11" spans="1:18" ht="25" customHeight="1" thickBot="1">
      <c r="A11" s="415"/>
      <c r="B11" s="24" t="s">
        <v>192</v>
      </c>
      <c r="C11" s="26" t="str">
        <f>T(總名冊!J181)</f>
        <v>王佑鈞</v>
      </c>
      <c r="D11" s="26" t="str">
        <f>T(總名冊!I181)</f>
        <v xml:space="preserve">醫管三乙  </v>
      </c>
      <c r="E11" s="10"/>
      <c r="F11" s="10"/>
      <c r="G11" s="10"/>
      <c r="H11" s="10"/>
      <c r="I11" s="10"/>
      <c r="J11" s="415"/>
      <c r="K11" s="24" t="s">
        <v>192</v>
      </c>
      <c r="L11" s="26" t="str">
        <f>T(總名冊!J202)</f>
        <v>曹祐瑋</v>
      </c>
      <c r="M11" s="26" t="str">
        <f>T(總名冊!I202)</f>
        <v>心理二乙</v>
      </c>
      <c r="N11" s="10"/>
      <c r="O11" s="10"/>
      <c r="P11" s="10"/>
      <c r="Q11" s="10"/>
      <c r="R11" s="10"/>
    </row>
    <row r="12" spans="1:18" ht="25" customHeight="1" thickBot="1">
      <c r="A12" s="416"/>
      <c r="B12" s="24" t="s">
        <v>207</v>
      </c>
      <c r="C12" s="26" t="str">
        <f>T(總名冊!J182)</f>
        <v>徐家康</v>
      </c>
      <c r="D12" s="26" t="str">
        <f>T(總名冊!I182)</f>
        <v xml:space="preserve">公行一甲  </v>
      </c>
      <c r="E12" s="10"/>
      <c r="F12" s="10"/>
      <c r="G12" s="10"/>
      <c r="H12" s="10"/>
      <c r="I12" s="10"/>
      <c r="J12" s="416"/>
      <c r="K12" s="24" t="s">
        <v>207</v>
      </c>
      <c r="L12" s="29" t="str">
        <f>T(總名冊!J203)</f>
        <v>何雋詠</v>
      </c>
      <c r="M12" s="26" t="str">
        <f>T(總名冊!I203)</f>
        <v>外交學程四</v>
      </c>
      <c r="N12" s="10"/>
      <c r="O12" s="10"/>
      <c r="P12" s="10"/>
      <c r="Q12" s="10"/>
      <c r="R12" s="10"/>
    </row>
    <row r="13" spans="1:18" ht="25" customHeight="1" thickBot="1">
      <c r="A13" s="414">
        <v>103</v>
      </c>
      <c r="B13" s="24" t="s">
        <v>206</v>
      </c>
      <c r="C13" s="26" t="str">
        <f>T(總名冊!J183)</f>
        <v>黃茂綸</v>
      </c>
      <c r="D13" s="26" t="str">
        <f>T(總名冊!I183)</f>
        <v>金科一甲</v>
      </c>
      <c r="E13" s="10"/>
      <c r="F13" s="10"/>
      <c r="G13" s="10"/>
      <c r="H13" s="10"/>
      <c r="I13" s="10"/>
      <c r="J13" s="414">
        <v>131</v>
      </c>
      <c r="K13" s="24" t="s">
        <v>206</v>
      </c>
      <c r="L13" s="26" t="str">
        <f>T(總名冊!J204)</f>
        <v>胡恩睿</v>
      </c>
      <c r="M13" s="26" t="str">
        <f>T(總名冊!I204)</f>
        <v>醫工二甲</v>
      </c>
      <c r="N13" s="10"/>
      <c r="O13" s="10"/>
      <c r="P13" s="10"/>
      <c r="Q13" s="10"/>
      <c r="R13" s="10"/>
    </row>
    <row r="14" spans="1:18" ht="25" customHeight="1" thickBot="1">
      <c r="A14" s="415"/>
      <c r="B14" s="24" t="s">
        <v>192</v>
      </c>
      <c r="C14" s="26" t="str">
        <f>T(總名冊!J184)</f>
        <v>陳柏樺</v>
      </c>
      <c r="D14" s="26" t="str">
        <f>T(總名冊!I184)</f>
        <v xml:space="preserve">心理一乙  </v>
      </c>
      <c r="E14" s="10"/>
      <c r="F14" s="10"/>
      <c r="G14" s="10"/>
      <c r="H14" s="10"/>
      <c r="I14" s="10"/>
      <c r="J14" s="415"/>
      <c r="K14" s="24" t="s">
        <v>192</v>
      </c>
      <c r="L14" s="26" t="str">
        <f>T(總名冊!J205)</f>
        <v>詹少祺</v>
      </c>
      <c r="M14" s="26" t="str">
        <f>T(總名冊!I205)</f>
        <v xml:space="preserve">資工二甲  </v>
      </c>
      <c r="N14" s="10"/>
      <c r="O14" s="10"/>
      <c r="P14" s="10"/>
      <c r="Q14" s="10"/>
      <c r="R14" s="10"/>
    </row>
    <row r="15" spans="1:18" ht="25" customHeight="1" thickBot="1">
      <c r="A15" s="416"/>
      <c r="B15" s="24" t="s">
        <v>207</v>
      </c>
      <c r="C15" s="26" t="str">
        <f>T(總名冊!J185)</f>
        <v>陳俞佑</v>
      </c>
      <c r="D15" s="26" t="str">
        <f>T(總名冊!I185)</f>
        <v>資工一甲</v>
      </c>
      <c r="E15" s="10"/>
      <c r="F15" s="10"/>
      <c r="G15" s="10"/>
      <c r="H15" s="10"/>
      <c r="I15" s="10"/>
      <c r="J15" s="416"/>
      <c r="K15" s="24" t="s">
        <v>207</v>
      </c>
      <c r="L15" s="26" t="str">
        <f>T(總名冊!J206)</f>
        <v>莊子毅</v>
      </c>
      <c r="M15" s="26" t="str">
        <f>T(總名冊!I206)</f>
        <v>電機一甲</v>
      </c>
      <c r="N15" s="10"/>
      <c r="O15" s="10"/>
      <c r="P15" s="10"/>
      <c r="Q15" s="10"/>
      <c r="R15" s="10"/>
    </row>
    <row r="16" spans="1:18" ht="25" customHeight="1" thickBot="1">
      <c r="A16" s="414">
        <v>105</v>
      </c>
      <c r="B16" s="24" t="s">
        <v>206</v>
      </c>
      <c r="C16" s="26" t="str">
        <f>T(總名冊!J186)</f>
        <v>彭正臣</v>
      </c>
      <c r="D16" s="26" t="str">
        <f>T(總名冊!I186)</f>
        <v xml:space="preserve">公行一甲  </v>
      </c>
      <c r="E16" s="10"/>
      <c r="F16" s="10"/>
      <c r="G16" s="10"/>
      <c r="H16" s="10"/>
      <c r="I16" s="10"/>
      <c r="J16" s="414">
        <v>133</v>
      </c>
      <c r="K16" s="24" t="s">
        <v>206</v>
      </c>
      <c r="L16" s="26" t="str">
        <f>T(總名冊!J207)</f>
        <v>黃庭偉</v>
      </c>
      <c r="M16" s="26" t="str">
        <f>T(總名冊!I207)</f>
        <v>電機一甲</v>
      </c>
      <c r="N16" s="10"/>
      <c r="O16" s="10"/>
      <c r="P16" s="10"/>
      <c r="Q16" s="10"/>
      <c r="R16" s="10"/>
    </row>
    <row r="17" spans="1:18" ht="25" customHeight="1" thickBot="1">
      <c r="A17" s="415"/>
      <c r="B17" s="24" t="s">
        <v>192</v>
      </c>
      <c r="C17" s="26" t="str">
        <f>T(總名冊!J187)</f>
        <v>黃彥璋</v>
      </c>
      <c r="D17" s="26" t="str">
        <f>T(總名冊!I187)</f>
        <v>電機一乙</v>
      </c>
      <c r="E17" s="10"/>
      <c r="F17" s="10"/>
      <c r="G17" s="10"/>
      <c r="H17" s="10"/>
      <c r="I17" s="10"/>
      <c r="J17" s="415"/>
      <c r="K17" s="24" t="s">
        <v>192</v>
      </c>
      <c r="L17" s="26" t="str">
        <f>T(總名冊!J208)</f>
        <v>佘承諺</v>
      </c>
      <c r="M17" s="26" t="str">
        <f>T(總名冊!I208)</f>
        <v>金科一甲</v>
      </c>
      <c r="N17" s="10"/>
      <c r="O17" s="10"/>
      <c r="P17" s="10"/>
      <c r="Q17" s="10"/>
      <c r="R17" s="10"/>
    </row>
    <row r="18" spans="1:18" ht="25" customHeight="1" thickBot="1">
      <c r="A18" s="416"/>
      <c r="B18" s="24" t="s">
        <v>207</v>
      </c>
      <c r="C18" s="26" t="str">
        <f>T(總名冊!J188)</f>
        <v>鍾立維</v>
      </c>
      <c r="D18" s="26" t="str">
        <f>T(總名冊!I188)</f>
        <v xml:space="preserve">人智三甲  </v>
      </c>
      <c r="E18" s="10"/>
      <c r="F18" s="10"/>
      <c r="G18" s="10"/>
      <c r="H18" s="10"/>
      <c r="I18" s="10"/>
      <c r="J18" s="416"/>
      <c r="K18" s="24" t="s">
        <v>207</v>
      </c>
      <c r="L18" s="26" t="str">
        <f>T(總名冊!J209)</f>
        <v>朱宸緯</v>
      </c>
      <c r="M18" s="26" t="str">
        <f>T(總名冊!I209)</f>
        <v xml:space="preserve">人智三甲  </v>
      </c>
      <c r="N18" s="25"/>
      <c r="O18" s="25"/>
      <c r="P18" s="25"/>
      <c r="Q18" s="25"/>
      <c r="R18" s="25"/>
    </row>
    <row r="19" spans="1:18" ht="25" customHeight="1" thickBot="1">
      <c r="A19" s="414">
        <v>107</v>
      </c>
      <c r="B19" s="24" t="s">
        <v>206</v>
      </c>
      <c r="C19" s="26" t="str">
        <f>T(總名冊!J189)</f>
        <v>黎柏煇</v>
      </c>
      <c r="D19" s="26" t="str">
        <f>T(總名冊!I189)</f>
        <v>休憩四甲</v>
      </c>
      <c r="E19" s="10"/>
      <c r="F19" s="10"/>
      <c r="G19" s="10"/>
      <c r="H19" s="10"/>
      <c r="I19" s="10"/>
      <c r="J19" s="414">
        <v>135</v>
      </c>
      <c r="K19" s="24" t="s">
        <v>206</v>
      </c>
      <c r="L19" s="26" t="str">
        <f>T(總名冊!J210)</f>
        <v>陳麒宇</v>
      </c>
      <c r="M19" s="26" t="str">
        <f>T(總名冊!I210)</f>
        <v xml:space="preserve">人智三乙  </v>
      </c>
      <c r="N19" s="10"/>
      <c r="O19" s="10"/>
      <c r="P19" s="10"/>
      <c r="Q19" s="10"/>
      <c r="R19" s="10"/>
    </row>
    <row r="20" spans="1:18" ht="25" customHeight="1" thickBot="1">
      <c r="A20" s="415"/>
      <c r="B20" s="24" t="s">
        <v>192</v>
      </c>
      <c r="C20" s="26" t="str">
        <f>T(總名冊!J190)</f>
        <v>邵証唯</v>
      </c>
      <c r="D20" s="26" t="str">
        <f>T(總名冊!I190)</f>
        <v xml:space="preserve">醫工三甲  </v>
      </c>
      <c r="E20" s="10"/>
      <c r="F20" s="10"/>
      <c r="G20" s="10"/>
      <c r="H20" s="10"/>
      <c r="I20" s="10"/>
      <c r="J20" s="415"/>
      <c r="K20" s="24" t="s">
        <v>192</v>
      </c>
      <c r="L20" s="26" t="str">
        <f>T(總名冊!J211)</f>
        <v>鄭誌元</v>
      </c>
      <c r="M20" s="26" t="str">
        <f>T(總名冊!I211)</f>
        <v xml:space="preserve">人智三甲  </v>
      </c>
      <c r="N20" s="10"/>
      <c r="O20" s="10"/>
      <c r="P20" s="10"/>
      <c r="Q20" s="10"/>
      <c r="R20" s="10"/>
    </row>
    <row r="21" spans="1:18" ht="25" customHeight="1" thickBot="1">
      <c r="A21" s="416"/>
      <c r="B21" s="24" t="s">
        <v>207</v>
      </c>
      <c r="C21" s="26" t="str">
        <f>T(總名冊!J191)</f>
        <v>黃子豪</v>
      </c>
      <c r="D21" s="26" t="str">
        <f>T(總名冊!I191)</f>
        <v>電機三丙</v>
      </c>
      <c r="E21" s="10"/>
      <c r="F21" s="10"/>
      <c r="G21" s="10"/>
      <c r="H21" s="10"/>
      <c r="I21" s="10"/>
      <c r="J21" s="416"/>
      <c r="K21" s="24" t="s">
        <v>207</v>
      </c>
      <c r="L21" s="26" t="str">
        <f>T(總名冊!J212)</f>
        <v>白  崴</v>
      </c>
      <c r="M21" s="26" t="str">
        <f>T(總名冊!I212)</f>
        <v>醫工二甲</v>
      </c>
      <c r="N21" s="10"/>
      <c r="O21" s="10"/>
      <c r="P21" s="10"/>
      <c r="Q21" s="10"/>
      <c r="R21" s="10"/>
    </row>
    <row r="22" spans="1:18" ht="25" customHeight="1" thickBot="1">
      <c r="A22" s="414">
        <v>109</v>
      </c>
      <c r="B22" s="24" t="s">
        <v>206</v>
      </c>
      <c r="C22" s="29" t="str">
        <f>T(總名冊!J192)</f>
        <v>郭翔元</v>
      </c>
      <c r="D22" s="26" t="str">
        <f>T(總名冊!I192)</f>
        <v xml:space="preserve">數媒四乙  </v>
      </c>
      <c r="E22" s="10"/>
      <c r="F22" s="10"/>
      <c r="G22" s="10"/>
      <c r="H22" s="10"/>
      <c r="I22" s="10"/>
      <c r="J22" s="417">
        <v>137</v>
      </c>
      <c r="K22" s="24" t="s">
        <v>206</v>
      </c>
      <c r="L22" s="26" t="str">
        <f>T(總名冊!J213)</f>
        <v>彭昱楠</v>
      </c>
      <c r="M22" s="26" t="str">
        <f>T(總名冊!I213)</f>
        <v xml:space="preserve">數媒一乙  </v>
      </c>
      <c r="N22" s="10"/>
      <c r="O22" s="10"/>
      <c r="P22" s="10"/>
      <c r="Q22" s="10"/>
      <c r="R22" s="10"/>
    </row>
    <row r="23" spans="1:18" ht="25" customHeight="1" thickBot="1">
      <c r="A23" s="415"/>
      <c r="B23" s="24" t="s">
        <v>192</v>
      </c>
      <c r="C23" s="26" t="str">
        <f>T(總名冊!J193)</f>
        <v>李文宏</v>
      </c>
      <c r="D23" s="26" t="str">
        <f>T(總名冊!I193)</f>
        <v>電機二丙</v>
      </c>
      <c r="E23" s="10"/>
      <c r="F23" s="10"/>
      <c r="G23" s="10"/>
      <c r="H23" s="10"/>
      <c r="I23" s="10"/>
      <c r="J23" s="417"/>
      <c r="K23" s="24" t="s">
        <v>192</v>
      </c>
      <c r="L23" s="26" t="str">
        <f>T(總名冊!J214)</f>
        <v>吳富生</v>
      </c>
      <c r="M23" s="26" t="str">
        <f>T(總名冊!I214)</f>
        <v xml:space="preserve">建築一甲  </v>
      </c>
      <c r="N23" s="10"/>
      <c r="O23" s="10"/>
      <c r="P23" s="10"/>
      <c r="Q23" s="10"/>
      <c r="R23" s="10"/>
    </row>
    <row r="24" spans="1:18" ht="25" customHeight="1" thickBot="1">
      <c r="A24" s="416"/>
      <c r="B24" s="24" t="s">
        <v>207</v>
      </c>
      <c r="C24" s="26" t="str">
        <f>T(總名冊!J194)</f>
        <v>吳承勳</v>
      </c>
      <c r="D24" s="26" t="str">
        <f>T(總名冊!I194)</f>
        <v xml:space="preserve">人智一乙  </v>
      </c>
      <c r="E24" s="10"/>
      <c r="F24" s="10"/>
      <c r="G24" s="10"/>
      <c r="H24" s="10"/>
      <c r="I24" s="10"/>
      <c r="J24" s="417"/>
      <c r="K24" s="24" t="s">
        <v>207</v>
      </c>
      <c r="L24" s="26" t="str">
        <f>T(總名冊!J215)</f>
        <v>黃崇恩</v>
      </c>
      <c r="M24" s="26" t="str">
        <f>T(總名冊!I215)</f>
        <v>醫工二甲</v>
      </c>
      <c r="N24" s="10"/>
      <c r="O24" s="10"/>
      <c r="P24" s="10"/>
      <c r="Q24" s="10"/>
      <c r="R24" s="10"/>
    </row>
    <row r="25" spans="1:18" ht="19" customHeight="1"/>
    <row r="26" spans="1:18" ht="19" customHeight="1"/>
    <row r="27" spans="1:18" ht="19" customHeight="1"/>
    <row r="28" spans="1:18" ht="19" customHeight="1"/>
    <row r="29" spans="1:18" ht="19" customHeight="1"/>
    <row r="30" spans="1:18" ht="19" customHeight="1"/>
    <row r="31" spans="1:18" ht="19" customHeight="1"/>
    <row r="32" spans="1:18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6" ht="4.5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</sheetData>
  <mergeCells count="23">
    <mergeCell ref="A1:R1"/>
    <mergeCell ref="A2:A3"/>
    <mergeCell ref="B2:B3"/>
    <mergeCell ref="C2:C3"/>
    <mergeCell ref="D2:D3"/>
    <mergeCell ref="J2:J3"/>
    <mergeCell ref="K2:K3"/>
    <mergeCell ref="L2:L3"/>
    <mergeCell ref="M2:M3"/>
    <mergeCell ref="A4:A6"/>
    <mergeCell ref="J4:J6"/>
    <mergeCell ref="A7:A9"/>
    <mergeCell ref="J7:J9"/>
    <mergeCell ref="A10:A12"/>
    <mergeCell ref="J10:J12"/>
    <mergeCell ref="A22:A24"/>
    <mergeCell ref="J22:J24"/>
    <mergeCell ref="A13:A15"/>
    <mergeCell ref="J13:J15"/>
    <mergeCell ref="A16:A18"/>
    <mergeCell ref="J16:J18"/>
    <mergeCell ref="A19:A21"/>
    <mergeCell ref="J19:J21"/>
  </mergeCells>
  <phoneticPr fontId="5" type="noConversion"/>
  <printOptions horizontalCentered="1" verticalCentered="1"/>
  <pageMargins left="0.11811023622047245" right="0.11811023622047245" top="0.35433070866141736" bottom="0.15748031496062992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69"/>
  <sheetViews>
    <sheetView zoomScale="70" zoomScaleNormal="70" workbookViewId="0">
      <selection activeCell="F21" sqref="F21"/>
    </sheetView>
  </sheetViews>
  <sheetFormatPr baseColWidth="10" defaultColWidth="9.19921875" defaultRowHeight="14"/>
  <cols>
    <col min="1" max="1" width="6.796875" customWidth="1"/>
    <col min="2" max="2" width="3.796875" customWidth="1"/>
    <col min="3" max="3" width="10.796875" customWidth="1"/>
    <col min="4" max="4" width="15.19921875" style="18" customWidth="1"/>
    <col min="5" max="9" width="8.796875" customWidth="1"/>
    <col min="10" max="10" width="6.796875" customWidth="1"/>
    <col min="11" max="11" width="3.796875" customWidth="1"/>
    <col min="12" max="12" width="10.796875" customWidth="1"/>
    <col min="13" max="13" width="17.796875" style="18" bestFit="1" customWidth="1"/>
    <col min="14" max="18" width="8.796875" customWidth="1"/>
  </cols>
  <sheetData>
    <row r="1" spans="1:18" ht="30" customHeight="1" thickBot="1">
      <c r="A1" s="421" t="s">
        <v>216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3"/>
    </row>
    <row r="2" spans="1:18" ht="25" customHeight="1" thickBot="1">
      <c r="A2" s="424" t="s">
        <v>217</v>
      </c>
      <c r="B2" s="426" t="s">
        <v>195</v>
      </c>
      <c r="C2" s="418" t="s">
        <v>201</v>
      </c>
      <c r="D2" s="418" t="s">
        <v>203</v>
      </c>
      <c r="E2" s="27" t="s">
        <v>199</v>
      </c>
      <c r="F2" s="27" t="s">
        <v>196</v>
      </c>
      <c r="G2" s="27" t="s">
        <v>197</v>
      </c>
      <c r="H2" s="27" t="s">
        <v>198</v>
      </c>
      <c r="I2" s="27" t="s">
        <v>200</v>
      </c>
      <c r="J2" s="424" t="s">
        <v>217</v>
      </c>
      <c r="K2" s="426" t="s">
        <v>195</v>
      </c>
      <c r="L2" s="418" t="s">
        <v>201</v>
      </c>
      <c r="M2" s="418" t="s">
        <v>203</v>
      </c>
      <c r="N2" s="27" t="s">
        <v>199</v>
      </c>
      <c r="O2" s="27" t="s">
        <v>196</v>
      </c>
      <c r="P2" s="27" t="s">
        <v>197</v>
      </c>
      <c r="Q2" s="27" t="s">
        <v>198</v>
      </c>
      <c r="R2" s="27" t="s">
        <v>200</v>
      </c>
    </row>
    <row r="3" spans="1:18" ht="25" customHeight="1" thickBot="1">
      <c r="A3" s="425"/>
      <c r="B3" s="427"/>
      <c r="C3" s="420"/>
      <c r="D3" s="420"/>
      <c r="E3" s="27"/>
      <c r="F3" s="27"/>
      <c r="G3" s="27"/>
      <c r="H3" s="27"/>
      <c r="I3" s="27"/>
      <c r="J3" s="425"/>
      <c r="K3" s="427"/>
      <c r="L3" s="420"/>
      <c r="M3" s="420"/>
      <c r="N3" s="27"/>
      <c r="O3" s="27"/>
      <c r="P3" s="27"/>
      <c r="Q3" s="27"/>
      <c r="R3" s="27"/>
    </row>
    <row r="4" spans="1:18" ht="25" customHeight="1" thickBot="1">
      <c r="A4" s="418">
        <v>97</v>
      </c>
      <c r="B4" s="24" t="s">
        <v>206</v>
      </c>
      <c r="C4" s="29" t="str">
        <f>T(總名冊!J216)</f>
        <v>陳睿軒</v>
      </c>
      <c r="D4" s="26" t="str">
        <f>T(總名冊!I216)</f>
        <v xml:space="preserve">醫管二甲  </v>
      </c>
      <c r="E4" s="10"/>
      <c r="F4" s="10"/>
      <c r="G4" s="10"/>
      <c r="H4" s="10"/>
      <c r="I4" s="10"/>
      <c r="J4" s="414">
        <v>125</v>
      </c>
      <c r="K4" s="24" t="s">
        <v>206</v>
      </c>
      <c r="L4" s="26" t="str">
        <f>T(總名冊!J237)</f>
        <v>無</v>
      </c>
      <c r="M4" s="26" t="str">
        <f>T(總名冊!I237)</f>
        <v/>
      </c>
      <c r="N4" s="10"/>
      <c r="O4" s="10"/>
      <c r="P4" s="10"/>
      <c r="Q4" s="10"/>
      <c r="R4" s="10"/>
    </row>
    <row r="5" spans="1:18" ht="25" customHeight="1" thickBot="1">
      <c r="A5" s="419"/>
      <c r="B5" s="24" t="s">
        <v>192</v>
      </c>
      <c r="C5" s="29" t="str">
        <f>T(總名冊!J217)</f>
        <v>林志強</v>
      </c>
      <c r="D5" s="26" t="str">
        <f>T(總名冊!I217)</f>
        <v xml:space="preserve">醫工二甲  </v>
      </c>
      <c r="E5" s="25"/>
      <c r="F5" s="25"/>
      <c r="G5" s="25"/>
      <c r="H5" s="25"/>
      <c r="I5" s="25"/>
      <c r="J5" s="415"/>
      <c r="K5" s="24" t="s">
        <v>192</v>
      </c>
      <c r="L5" s="26" t="e">
        <f>T(總名冊!#REF!)</f>
        <v>#REF!</v>
      </c>
      <c r="M5" s="26" t="e">
        <f>T(總名冊!#REF!)</f>
        <v>#REF!</v>
      </c>
      <c r="N5" s="10"/>
      <c r="O5" s="10"/>
      <c r="P5" s="10"/>
      <c r="Q5" s="10"/>
      <c r="R5" s="10"/>
    </row>
    <row r="6" spans="1:18" ht="25" customHeight="1" thickBot="1">
      <c r="A6" s="420"/>
      <c r="B6" s="24" t="s">
        <v>207</v>
      </c>
      <c r="C6" s="29" t="str">
        <f>T(總名冊!J218)</f>
        <v>達亮銜</v>
      </c>
      <c r="D6" s="26" t="str">
        <f>T(總名冊!I218)</f>
        <v>數媒二甲</v>
      </c>
      <c r="E6" s="10"/>
      <c r="F6" s="10"/>
      <c r="G6" s="10"/>
      <c r="H6" s="10"/>
      <c r="I6" s="10"/>
      <c r="J6" s="416"/>
      <c r="K6" s="24" t="s">
        <v>207</v>
      </c>
      <c r="L6" s="26" t="str">
        <f>T(總名冊!J239)</f>
        <v>蕭翊均</v>
      </c>
      <c r="M6" s="26" t="str">
        <f>T(總名冊!I239)</f>
        <v>電機二丙</v>
      </c>
      <c r="N6" s="10"/>
      <c r="O6" s="10"/>
      <c r="P6" s="10"/>
      <c r="Q6" s="10"/>
      <c r="R6" s="10"/>
    </row>
    <row r="7" spans="1:18" ht="25" customHeight="1" thickBot="1">
      <c r="A7" s="414">
        <v>99</v>
      </c>
      <c r="B7" s="24" t="s">
        <v>206</v>
      </c>
      <c r="C7" s="29" t="str">
        <f>T(總名冊!J219)</f>
        <v>廖俊甫</v>
      </c>
      <c r="D7" s="26" t="str">
        <f>T(總名冊!I219)</f>
        <v xml:space="preserve">生科三甲  </v>
      </c>
      <c r="E7" s="10"/>
      <c r="F7" s="10"/>
      <c r="G7" s="10"/>
      <c r="H7" s="10"/>
      <c r="I7" s="10"/>
      <c r="J7" s="414">
        <v>127</v>
      </c>
      <c r="K7" s="24" t="s">
        <v>206</v>
      </c>
      <c r="L7" s="26" t="str">
        <f>T(總名冊!J240)</f>
        <v>魏佑澄</v>
      </c>
      <c r="M7" s="26" t="str">
        <f>T(總名冊!I240)</f>
        <v>犯防三乙</v>
      </c>
      <c r="N7" s="10"/>
      <c r="O7" s="10"/>
      <c r="P7" s="10"/>
      <c r="Q7" s="10"/>
      <c r="R7" s="10"/>
    </row>
    <row r="8" spans="1:18" ht="25" customHeight="1" thickBot="1">
      <c r="A8" s="415"/>
      <c r="B8" s="24" t="s">
        <v>192</v>
      </c>
      <c r="C8" s="29" t="str">
        <f>T(總名冊!J220)</f>
        <v>蘇晁賢</v>
      </c>
      <c r="D8" s="26" t="str">
        <f>T(總名冊!I220)</f>
        <v xml:space="preserve">心理四乙  </v>
      </c>
      <c r="E8" s="10"/>
      <c r="F8" s="10"/>
      <c r="G8" s="10"/>
      <c r="H8" s="10"/>
      <c r="I8" s="10"/>
      <c r="J8" s="415"/>
      <c r="K8" s="24" t="s">
        <v>192</v>
      </c>
      <c r="L8" s="26" t="str">
        <f>T(總名冊!J241)</f>
        <v>徐志方</v>
      </c>
      <c r="M8" s="26" t="str">
        <f>T(總名冊!I241)</f>
        <v>心理四甲</v>
      </c>
      <c r="N8" s="10"/>
      <c r="O8" s="10"/>
      <c r="P8" s="10"/>
      <c r="Q8" s="10"/>
      <c r="R8" s="10"/>
    </row>
    <row r="9" spans="1:18" ht="25" customHeight="1" thickBot="1">
      <c r="A9" s="416"/>
      <c r="B9" s="24" t="s">
        <v>207</v>
      </c>
      <c r="C9" s="29" t="str">
        <f>T(總名冊!J221)</f>
        <v>曾郁凱</v>
      </c>
      <c r="D9" s="26" t="str">
        <f>T(總名冊!I221)</f>
        <v>資工二丙</v>
      </c>
      <c r="E9" s="10"/>
      <c r="F9" s="10"/>
      <c r="G9" s="10"/>
      <c r="H9" s="10"/>
      <c r="I9" s="10"/>
      <c r="J9" s="416"/>
      <c r="K9" s="24" t="s">
        <v>207</v>
      </c>
      <c r="L9" s="26" t="str">
        <f>T(總名冊!J242)</f>
        <v>曾彥渝</v>
      </c>
      <c r="M9" s="26" t="str">
        <f>T(總名冊!I242)</f>
        <v>都發一甲</v>
      </c>
      <c r="N9" s="10"/>
      <c r="O9" s="10"/>
      <c r="P9" s="10"/>
      <c r="Q9" s="10"/>
      <c r="R9" s="10"/>
    </row>
    <row r="10" spans="1:18" ht="25" customHeight="1" thickBot="1">
      <c r="A10" s="414">
        <v>101</v>
      </c>
      <c r="B10" s="24" t="s">
        <v>206</v>
      </c>
      <c r="C10" s="29" t="str">
        <f>T(總名冊!J222)</f>
        <v>吳彥宏</v>
      </c>
      <c r="D10" s="26" t="str">
        <f>T(總名冊!I222)</f>
        <v>數媒二乙</v>
      </c>
      <c r="E10" s="10"/>
      <c r="F10" s="10"/>
      <c r="G10" s="10"/>
      <c r="H10" s="10"/>
      <c r="I10" s="10"/>
      <c r="J10" s="414">
        <v>129</v>
      </c>
      <c r="K10" s="24" t="s">
        <v>206</v>
      </c>
      <c r="L10" s="26" t="str">
        <f>T(總名冊!J243)</f>
        <v>李家齊</v>
      </c>
      <c r="M10" s="26" t="str">
        <f>T(總名冊!I243)</f>
        <v>金融一甲</v>
      </c>
      <c r="N10" s="10"/>
      <c r="O10" s="10"/>
      <c r="P10" s="10"/>
      <c r="Q10" s="10"/>
      <c r="R10" s="10"/>
    </row>
    <row r="11" spans="1:18" ht="25" customHeight="1" thickBot="1">
      <c r="A11" s="415"/>
      <c r="B11" s="24" t="s">
        <v>192</v>
      </c>
      <c r="C11" s="29" t="str">
        <f>T(總名冊!J223)</f>
        <v>陳泰頤</v>
      </c>
      <c r="D11" s="26" t="str">
        <f>T(總名冊!I223)</f>
        <v>資工三甲</v>
      </c>
      <c r="E11" s="10"/>
      <c r="F11" s="10"/>
      <c r="G11" s="10"/>
      <c r="H11" s="10"/>
      <c r="I11" s="10"/>
      <c r="J11" s="415"/>
      <c r="K11" s="24" t="s">
        <v>192</v>
      </c>
      <c r="L11" s="26" t="str">
        <f>T(總名冊!J244)</f>
        <v>簡孝存</v>
      </c>
      <c r="M11" s="26" t="str">
        <f>T(總名冊!I244)</f>
        <v>都發一甲</v>
      </c>
      <c r="N11" s="10"/>
      <c r="O11" s="10"/>
      <c r="P11" s="10"/>
      <c r="Q11" s="10"/>
      <c r="R11" s="10"/>
    </row>
    <row r="12" spans="1:18" ht="25" customHeight="1" thickBot="1">
      <c r="A12" s="416"/>
      <c r="B12" s="24" t="s">
        <v>207</v>
      </c>
      <c r="C12" s="29" t="str">
        <f>T(總名冊!J225)</f>
        <v>陳鴻鈞</v>
      </c>
      <c r="D12" s="26" t="str">
        <f>T(總名冊!I225)</f>
        <v xml:space="preserve">金融一甲  </v>
      </c>
      <c r="E12" s="10"/>
      <c r="F12" s="10"/>
      <c r="G12" s="10"/>
      <c r="H12" s="10"/>
      <c r="I12" s="10"/>
      <c r="J12" s="416"/>
      <c r="K12" s="24" t="s">
        <v>207</v>
      </c>
      <c r="L12" s="26" t="str">
        <f>T(總名冊!J245)</f>
        <v>黃子綱</v>
      </c>
      <c r="M12" s="26" t="str">
        <f>T(總名冊!I245)</f>
        <v>資工二丙</v>
      </c>
      <c r="N12" s="10"/>
      <c r="O12" s="10"/>
      <c r="P12" s="10"/>
      <c r="Q12" s="10"/>
      <c r="R12" s="10"/>
    </row>
    <row r="13" spans="1:18" ht="25" customHeight="1" thickBot="1">
      <c r="A13" s="414">
        <v>103</v>
      </c>
      <c r="B13" s="24" t="s">
        <v>206</v>
      </c>
      <c r="C13" s="29" t="str">
        <f>T(總名冊!J226)</f>
        <v>徐琦恩</v>
      </c>
      <c r="D13" s="26" t="str">
        <f>T(總名冊!I226)</f>
        <v xml:space="preserve">金融一甲  </v>
      </c>
      <c r="E13" s="10"/>
      <c r="F13" s="10"/>
      <c r="G13" s="10"/>
      <c r="H13" s="10"/>
      <c r="I13" s="10"/>
      <c r="J13" s="414">
        <v>131</v>
      </c>
      <c r="K13" s="24" t="s">
        <v>206</v>
      </c>
      <c r="L13" s="26" t="str">
        <f>T(總名冊!J246)</f>
        <v>曾允亮</v>
      </c>
      <c r="M13" s="26" t="str">
        <f>T(總名冊!I246)</f>
        <v>人智二甲</v>
      </c>
      <c r="N13" s="10"/>
      <c r="O13" s="10"/>
      <c r="P13" s="10"/>
      <c r="Q13" s="10"/>
      <c r="R13" s="10"/>
    </row>
    <row r="14" spans="1:18" ht="25" customHeight="1" thickBot="1">
      <c r="A14" s="415"/>
      <c r="B14" s="24" t="s">
        <v>192</v>
      </c>
      <c r="C14" s="29" t="str">
        <f>T(總名冊!J227)</f>
        <v>曾昱愷</v>
      </c>
      <c r="D14" s="26" t="str">
        <f>T(總名冊!I227)</f>
        <v>金科學程四</v>
      </c>
      <c r="E14" s="10"/>
      <c r="F14" s="10"/>
      <c r="G14" s="10"/>
      <c r="H14" s="10"/>
      <c r="I14" s="10"/>
      <c r="J14" s="415"/>
      <c r="K14" s="24" t="s">
        <v>192</v>
      </c>
      <c r="L14" s="26" t="str">
        <f>T(總名冊!J32)</f>
        <v>趙宇晟</v>
      </c>
      <c r="M14" s="26" t="str">
        <f>T(總名冊!I32)</f>
        <v>數媒三丁</v>
      </c>
      <c r="N14" s="10"/>
      <c r="O14" s="10"/>
      <c r="P14" s="10"/>
      <c r="Q14" s="10"/>
      <c r="R14" s="10"/>
    </row>
    <row r="15" spans="1:18" ht="25" customHeight="1" thickBot="1">
      <c r="A15" s="416"/>
      <c r="B15" s="24" t="s">
        <v>207</v>
      </c>
      <c r="C15" s="29" t="str">
        <f>T(總名冊!J228)</f>
        <v>徐尚恩</v>
      </c>
      <c r="D15" s="26" t="str">
        <f>T(總名冊!I228)</f>
        <v>犯防三乙</v>
      </c>
      <c r="E15" s="10"/>
      <c r="F15" s="10"/>
      <c r="G15" s="10"/>
      <c r="H15" s="10"/>
      <c r="I15" s="10"/>
      <c r="J15" s="416"/>
      <c r="K15" s="24" t="s">
        <v>207</v>
      </c>
      <c r="L15" s="26" t="str">
        <f>T(總名冊!J248)</f>
        <v>陳聖揚</v>
      </c>
      <c r="M15" s="26" t="str">
        <f>T(總名冊!I248)</f>
        <v>外交學程二</v>
      </c>
      <c r="N15" s="10"/>
      <c r="O15" s="10"/>
      <c r="P15" s="10"/>
      <c r="Q15" s="10"/>
      <c r="R15" s="10"/>
    </row>
    <row r="16" spans="1:18" ht="25" customHeight="1" thickBot="1">
      <c r="A16" s="414">
        <v>105</v>
      </c>
      <c r="B16" s="24" t="s">
        <v>206</v>
      </c>
      <c r="C16" s="29" t="e">
        <f>T(總名冊!#REF!)</f>
        <v>#REF!</v>
      </c>
      <c r="D16" s="26" t="e">
        <f>T(總名冊!#REF!)</f>
        <v>#REF!</v>
      </c>
      <c r="E16" s="10"/>
      <c r="F16" s="10"/>
      <c r="G16" s="10"/>
      <c r="H16" s="10"/>
      <c r="I16" s="10"/>
      <c r="J16" s="414">
        <v>133</v>
      </c>
      <c r="K16" s="24" t="s">
        <v>206</v>
      </c>
      <c r="L16" s="26" t="str">
        <f>T(總名冊!J249)</f>
        <v>陳楚威</v>
      </c>
      <c r="M16" s="26" t="str">
        <f>T(總名冊!I249)</f>
        <v>公行三甲</v>
      </c>
      <c r="N16" s="10"/>
      <c r="O16" s="10"/>
      <c r="P16" s="10"/>
      <c r="Q16" s="10"/>
      <c r="R16" s="10"/>
    </row>
    <row r="17" spans="1:18" ht="25" customHeight="1" thickBot="1">
      <c r="A17" s="415"/>
      <c r="B17" s="24" t="s">
        <v>192</v>
      </c>
      <c r="C17" s="29" t="str">
        <f>T(總名冊!J229)</f>
        <v>呂耕豪</v>
      </c>
      <c r="D17" s="26" t="str">
        <f>T(總名冊!I229)</f>
        <v>人智二乙</v>
      </c>
      <c r="E17" s="10"/>
      <c r="F17" s="10"/>
      <c r="G17" s="10"/>
      <c r="H17" s="10"/>
      <c r="I17" s="10"/>
      <c r="J17" s="415"/>
      <c r="K17" s="24" t="s">
        <v>192</v>
      </c>
      <c r="L17" s="26" t="str">
        <f>T(總名冊!J250)</f>
        <v>吳俊陞</v>
      </c>
      <c r="M17" s="26" t="str">
        <f>T(總名冊!I250)</f>
        <v>數媒四丁</v>
      </c>
      <c r="N17" s="10"/>
      <c r="O17" s="10"/>
      <c r="P17" s="10"/>
      <c r="Q17" s="10"/>
      <c r="R17" s="10"/>
    </row>
    <row r="18" spans="1:18" ht="25" customHeight="1" thickBot="1">
      <c r="A18" s="416"/>
      <c r="B18" s="24" t="s">
        <v>207</v>
      </c>
      <c r="C18" s="29" t="str">
        <f>T(總名冊!J230)</f>
        <v>劉宇哲</v>
      </c>
      <c r="D18" s="26" t="str">
        <f>T(總名冊!I230)</f>
        <v xml:space="preserve">金融一甲  </v>
      </c>
      <c r="E18" s="10"/>
      <c r="F18" s="10"/>
      <c r="G18" s="10"/>
      <c r="H18" s="10"/>
      <c r="I18" s="10"/>
      <c r="J18" s="416"/>
      <c r="K18" s="24" t="s">
        <v>207</v>
      </c>
      <c r="L18" s="26" t="str">
        <f>T(總名冊!J251)</f>
        <v>郭建偉</v>
      </c>
      <c r="M18" s="26" t="str">
        <f>T(總名冊!I251)</f>
        <v xml:space="preserve">電機三丁  </v>
      </c>
      <c r="N18" s="25"/>
      <c r="O18" s="25"/>
      <c r="P18" s="25"/>
      <c r="Q18" s="25"/>
      <c r="R18" s="25"/>
    </row>
    <row r="19" spans="1:18" ht="25" customHeight="1" thickBot="1">
      <c r="A19" s="414">
        <v>107</v>
      </c>
      <c r="B19" s="24" t="s">
        <v>206</v>
      </c>
      <c r="C19" s="29" t="str">
        <f>T(總名冊!J231)</f>
        <v>簡群益</v>
      </c>
      <c r="D19" s="26" t="str">
        <f>T(總名冊!I231)</f>
        <v>都發一甲</v>
      </c>
      <c r="E19" s="10"/>
      <c r="F19" s="10"/>
      <c r="G19" s="10"/>
      <c r="H19" s="10"/>
      <c r="I19" s="10"/>
      <c r="J19" s="414">
        <v>135</v>
      </c>
      <c r="K19" s="24" t="s">
        <v>206</v>
      </c>
      <c r="L19" s="26" t="str">
        <f>T(總名冊!J252)</f>
        <v>吳紹綸</v>
      </c>
      <c r="M19" s="26" t="str">
        <f>T(總名冊!I252)</f>
        <v xml:space="preserve">電機三丁  </v>
      </c>
      <c r="N19" s="10"/>
      <c r="O19" s="10"/>
      <c r="P19" s="10"/>
      <c r="Q19" s="10"/>
      <c r="R19" s="10"/>
    </row>
    <row r="20" spans="1:18" ht="25" customHeight="1" thickBot="1">
      <c r="A20" s="415"/>
      <c r="B20" s="24" t="s">
        <v>192</v>
      </c>
      <c r="C20" s="29" t="str">
        <f>T(總名冊!J232)</f>
        <v>陳俊仰</v>
      </c>
      <c r="D20" s="26" t="str">
        <f>T(總名冊!I232)</f>
        <v>人智一甲</v>
      </c>
      <c r="E20" s="10"/>
      <c r="F20" s="10"/>
      <c r="G20" s="10"/>
      <c r="H20" s="10"/>
      <c r="I20" s="10"/>
      <c r="J20" s="415"/>
      <c r="K20" s="24" t="s">
        <v>192</v>
      </c>
      <c r="L20" s="26" t="str">
        <f>T(總名冊!J253)</f>
        <v>連  鎧</v>
      </c>
      <c r="M20" s="26" t="str">
        <f>T(總名冊!I253)</f>
        <v>金融二甲</v>
      </c>
      <c r="N20" s="10"/>
      <c r="O20" s="10"/>
      <c r="P20" s="10"/>
      <c r="Q20" s="10"/>
      <c r="R20" s="10"/>
    </row>
    <row r="21" spans="1:18" ht="25" customHeight="1" thickBot="1">
      <c r="A21" s="416"/>
      <c r="B21" s="24" t="s">
        <v>207</v>
      </c>
      <c r="C21" s="29" t="str">
        <f>T(總名冊!J233)</f>
        <v>無</v>
      </c>
      <c r="D21" s="26" t="str">
        <f>T(總名冊!I233)</f>
        <v/>
      </c>
      <c r="E21" s="10"/>
      <c r="F21" s="10"/>
      <c r="G21" s="10"/>
      <c r="H21" s="10"/>
      <c r="I21" s="10"/>
      <c r="J21" s="416"/>
      <c r="K21" s="24" t="s">
        <v>207</v>
      </c>
      <c r="L21" s="26" t="str">
        <f>T(總名冊!J254)</f>
        <v/>
      </c>
      <c r="M21" s="26" t="str">
        <f>T(總名冊!I254)</f>
        <v/>
      </c>
      <c r="N21" s="10"/>
      <c r="O21" s="10"/>
      <c r="P21" s="10"/>
      <c r="Q21" s="10"/>
      <c r="R21" s="10"/>
    </row>
    <row r="22" spans="1:18" ht="25" customHeight="1" thickBot="1">
      <c r="A22" s="414">
        <v>109</v>
      </c>
      <c r="B22" s="24" t="s">
        <v>206</v>
      </c>
      <c r="C22" s="29" t="str">
        <f>T(總名冊!J234)</f>
        <v>無</v>
      </c>
      <c r="D22" s="26" t="str">
        <f>T(總名冊!I234)</f>
        <v/>
      </c>
      <c r="E22" s="10"/>
      <c r="F22" s="10"/>
      <c r="G22" s="10"/>
      <c r="H22" s="10"/>
      <c r="I22" s="10"/>
      <c r="J22" s="417">
        <v>137</v>
      </c>
      <c r="K22" s="24" t="s">
        <v>206</v>
      </c>
      <c r="L22" s="26" t="str">
        <f>T(總名冊!J255)</f>
        <v/>
      </c>
      <c r="M22" s="26" t="str">
        <f>T(總名冊!I255)</f>
        <v/>
      </c>
      <c r="N22" s="10"/>
      <c r="O22" s="10"/>
      <c r="P22" s="10"/>
      <c r="Q22" s="10"/>
      <c r="R22" s="10"/>
    </row>
    <row r="23" spans="1:18" ht="25" customHeight="1" thickBot="1">
      <c r="A23" s="415"/>
      <c r="B23" s="24" t="s">
        <v>192</v>
      </c>
      <c r="C23" s="29" t="str">
        <f>T(總名冊!J235)</f>
        <v>無</v>
      </c>
      <c r="D23" s="26" t="str">
        <f>T(總名冊!I235)</f>
        <v/>
      </c>
      <c r="E23" s="10"/>
      <c r="F23" s="10"/>
      <c r="G23" s="10"/>
      <c r="H23" s="10"/>
      <c r="I23" s="10"/>
      <c r="J23" s="417"/>
      <c r="K23" s="24" t="s">
        <v>192</v>
      </c>
      <c r="L23" s="26" t="str">
        <f>T(總名冊!J256)</f>
        <v/>
      </c>
      <c r="M23" s="26" t="str">
        <f>T(總名冊!I256)</f>
        <v/>
      </c>
      <c r="N23" s="10"/>
      <c r="O23" s="10"/>
      <c r="P23" s="10"/>
      <c r="Q23" s="10"/>
      <c r="R23" s="10"/>
    </row>
    <row r="24" spans="1:18" ht="25" customHeight="1" thickBot="1">
      <c r="A24" s="416"/>
      <c r="B24" s="24" t="s">
        <v>207</v>
      </c>
      <c r="C24" s="29" t="str">
        <f>T(總名冊!J238)</f>
        <v>無</v>
      </c>
      <c r="D24" s="26" t="str">
        <f>T(總名冊!I238)</f>
        <v/>
      </c>
      <c r="E24" s="10"/>
      <c r="F24" s="10"/>
      <c r="G24" s="10"/>
      <c r="H24" s="10"/>
      <c r="I24" s="10"/>
      <c r="J24" s="417"/>
      <c r="K24" s="24" t="s">
        <v>207</v>
      </c>
      <c r="L24" s="26" t="str">
        <f>T(總名冊!J257)</f>
        <v/>
      </c>
      <c r="M24" s="26" t="str">
        <f>T(總名冊!I257)</f>
        <v/>
      </c>
      <c r="N24" s="10"/>
      <c r="O24" s="10"/>
      <c r="P24" s="10"/>
      <c r="Q24" s="10"/>
      <c r="R24" s="10"/>
    </row>
    <row r="25" spans="1:18" ht="19" customHeight="1"/>
    <row r="26" spans="1:18" ht="19" customHeight="1"/>
    <row r="27" spans="1:18" ht="19" customHeight="1"/>
    <row r="28" spans="1:18" ht="19" customHeight="1"/>
    <row r="29" spans="1:18" ht="19" customHeight="1"/>
    <row r="30" spans="1:18" ht="19" customHeight="1"/>
    <row r="31" spans="1:18" ht="19" customHeight="1"/>
    <row r="32" spans="1:18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6" ht="4.5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</sheetData>
  <mergeCells count="23">
    <mergeCell ref="A1:R1"/>
    <mergeCell ref="A2:A3"/>
    <mergeCell ref="B2:B3"/>
    <mergeCell ref="C2:C3"/>
    <mergeCell ref="D2:D3"/>
    <mergeCell ref="J2:J3"/>
    <mergeCell ref="K2:K3"/>
    <mergeCell ref="L2:L3"/>
    <mergeCell ref="M2:M3"/>
    <mergeCell ref="A4:A6"/>
    <mergeCell ref="J4:J6"/>
    <mergeCell ref="A7:A9"/>
    <mergeCell ref="J7:J9"/>
    <mergeCell ref="A10:A12"/>
    <mergeCell ref="J10:J12"/>
    <mergeCell ref="A22:A24"/>
    <mergeCell ref="J22:J24"/>
    <mergeCell ref="A13:A15"/>
    <mergeCell ref="J13:J15"/>
    <mergeCell ref="A16:A18"/>
    <mergeCell ref="J16:J18"/>
    <mergeCell ref="A19:A21"/>
    <mergeCell ref="J19:J21"/>
  </mergeCells>
  <phoneticPr fontId="5" type="noConversion"/>
  <printOptions horizontalCentered="1" verticalCentered="1"/>
  <pageMargins left="0.11811023622047245" right="0.11811023622047245" top="0.35433070866141736" bottom="0.15748031496062992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69"/>
  <sheetViews>
    <sheetView zoomScale="70" zoomScaleNormal="70" workbookViewId="0">
      <selection activeCell="F21" sqref="F21"/>
    </sheetView>
  </sheetViews>
  <sheetFormatPr baseColWidth="10" defaultColWidth="9.19921875" defaultRowHeight="14"/>
  <cols>
    <col min="1" max="1" width="6.796875" customWidth="1"/>
    <col min="2" max="2" width="3.796875" customWidth="1"/>
    <col min="3" max="3" width="10.796875" customWidth="1"/>
    <col min="4" max="4" width="13.796875" style="18" customWidth="1"/>
    <col min="5" max="9" width="8.796875" customWidth="1"/>
    <col min="10" max="10" width="6.796875" customWidth="1"/>
    <col min="11" max="11" width="3.796875" customWidth="1"/>
    <col min="12" max="12" width="10.796875" customWidth="1"/>
    <col min="13" max="13" width="17.796875" style="18" bestFit="1" customWidth="1"/>
    <col min="14" max="18" width="8.796875" customWidth="1"/>
  </cols>
  <sheetData>
    <row r="1" spans="1:18" ht="30" customHeight="1" thickBot="1">
      <c r="A1" s="421" t="s">
        <v>219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3"/>
    </row>
    <row r="2" spans="1:18" ht="25" customHeight="1" thickBot="1">
      <c r="A2" s="424" t="s">
        <v>220</v>
      </c>
      <c r="B2" s="426" t="s">
        <v>195</v>
      </c>
      <c r="C2" s="418" t="s">
        <v>201</v>
      </c>
      <c r="D2" s="418" t="s">
        <v>203</v>
      </c>
      <c r="E2" s="27" t="s">
        <v>199</v>
      </c>
      <c r="F2" s="27" t="s">
        <v>196</v>
      </c>
      <c r="G2" s="27" t="s">
        <v>197</v>
      </c>
      <c r="H2" s="27" t="s">
        <v>198</v>
      </c>
      <c r="I2" s="27" t="s">
        <v>200</v>
      </c>
      <c r="J2" s="424" t="s">
        <v>220</v>
      </c>
      <c r="K2" s="426" t="s">
        <v>195</v>
      </c>
      <c r="L2" s="418" t="s">
        <v>201</v>
      </c>
      <c r="M2" s="418" t="s">
        <v>203</v>
      </c>
      <c r="N2" s="27" t="s">
        <v>199</v>
      </c>
      <c r="O2" s="27" t="s">
        <v>196</v>
      </c>
      <c r="P2" s="27" t="s">
        <v>197</v>
      </c>
      <c r="Q2" s="27" t="s">
        <v>198</v>
      </c>
      <c r="R2" s="27" t="s">
        <v>200</v>
      </c>
    </row>
    <row r="3" spans="1:18" ht="25" customHeight="1" thickBot="1">
      <c r="A3" s="425"/>
      <c r="B3" s="427"/>
      <c r="C3" s="420"/>
      <c r="D3" s="420"/>
      <c r="E3" s="27"/>
      <c r="F3" s="27"/>
      <c r="G3" s="27"/>
      <c r="H3" s="27"/>
      <c r="I3" s="27"/>
      <c r="J3" s="425"/>
      <c r="K3" s="427"/>
      <c r="L3" s="420"/>
      <c r="M3" s="420"/>
      <c r="N3" s="27"/>
      <c r="O3" s="27"/>
      <c r="P3" s="27"/>
      <c r="Q3" s="27"/>
      <c r="R3" s="27"/>
    </row>
    <row r="4" spans="1:18" ht="25" customHeight="1" thickBot="1">
      <c r="A4" s="418">
        <v>83</v>
      </c>
      <c r="B4" s="24" t="s">
        <v>206</v>
      </c>
      <c r="C4" s="26" t="str">
        <f>T(總名冊!J260)</f>
        <v/>
      </c>
      <c r="D4" s="26" t="str">
        <f>T(總名冊!I260)</f>
        <v/>
      </c>
      <c r="E4" s="10"/>
      <c r="F4" s="10"/>
      <c r="G4" s="10"/>
      <c r="H4" s="10"/>
      <c r="I4" s="10"/>
      <c r="J4" s="414">
        <v>113</v>
      </c>
      <c r="K4" s="24" t="s">
        <v>206</v>
      </c>
      <c r="L4" s="26" t="str">
        <f>T(總名冊!J281)</f>
        <v>蔡聿芷</v>
      </c>
      <c r="M4" s="26" t="str">
        <f>T(總名冊!I281)</f>
        <v xml:space="preserve">醫管一甲  </v>
      </c>
      <c r="N4" s="10"/>
      <c r="O4" s="10"/>
      <c r="P4" s="10"/>
      <c r="Q4" s="10"/>
      <c r="R4" s="10"/>
    </row>
    <row r="5" spans="1:18" ht="25" customHeight="1" thickBot="1">
      <c r="A5" s="419"/>
      <c r="B5" s="24" t="s">
        <v>192</v>
      </c>
      <c r="C5" s="26" t="str">
        <f>T(總名冊!J261)</f>
        <v/>
      </c>
      <c r="D5" s="26" t="str">
        <f>T(總名冊!I261)</f>
        <v/>
      </c>
      <c r="E5" s="25"/>
      <c r="F5" s="25"/>
      <c r="G5" s="25"/>
      <c r="H5" s="25"/>
      <c r="I5" s="25"/>
      <c r="J5" s="415"/>
      <c r="K5" s="24" t="s">
        <v>192</v>
      </c>
      <c r="L5" s="26" t="str">
        <f>T(總名冊!J282)</f>
        <v>周家伃</v>
      </c>
      <c r="M5" s="26" t="str">
        <f>T(總名冊!I282)</f>
        <v>公行四甲</v>
      </c>
      <c r="N5" s="10"/>
      <c r="O5" s="10"/>
      <c r="P5" s="10"/>
      <c r="Q5" s="10"/>
      <c r="R5" s="10"/>
    </row>
    <row r="6" spans="1:18" ht="25" customHeight="1" thickBot="1">
      <c r="A6" s="420"/>
      <c r="B6" s="24" t="s">
        <v>207</v>
      </c>
      <c r="C6" s="26" t="e">
        <f>T(總名冊!#REF!)</f>
        <v>#REF!</v>
      </c>
      <c r="D6" s="26" t="e">
        <f>T(總名冊!#REF!)</f>
        <v>#REF!</v>
      </c>
      <c r="E6" s="10"/>
      <c r="F6" s="10"/>
      <c r="G6" s="10"/>
      <c r="H6" s="10"/>
      <c r="I6" s="10"/>
      <c r="J6" s="416"/>
      <c r="K6" s="24" t="s">
        <v>207</v>
      </c>
      <c r="L6" s="26" t="str">
        <f>T(總名冊!J283)</f>
        <v>蔣忻妍</v>
      </c>
      <c r="M6" s="26" t="str">
        <f>T(總名冊!I283)</f>
        <v>應日二甲</v>
      </c>
      <c r="N6" s="10"/>
      <c r="O6" s="10"/>
      <c r="P6" s="10"/>
      <c r="Q6" s="10"/>
      <c r="R6" s="10"/>
    </row>
    <row r="7" spans="1:18" ht="25" customHeight="1" thickBot="1">
      <c r="A7" s="414">
        <v>85</v>
      </c>
      <c r="B7" s="24" t="s">
        <v>206</v>
      </c>
      <c r="C7" s="26" t="e">
        <f>T(總名冊!#REF!)</f>
        <v>#REF!</v>
      </c>
      <c r="D7" s="26" t="e">
        <f>T(總名冊!#REF!)</f>
        <v>#REF!</v>
      </c>
      <c r="E7" s="10"/>
      <c r="F7" s="10"/>
      <c r="G7" s="10"/>
      <c r="H7" s="10"/>
      <c r="I7" s="10"/>
      <c r="J7" s="414">
        <v>115</v>
      </c>
      <c r="K7" s="24" t="s">
        <v>206</v>
      </c>
      <c r="L7" s="26" t="str">
        <f>T(總名冊!J284)</f>
        <v>楊詠晴</v>
      </c>
      <c r="M7" s="26" t="str">
        <f>T(總名冊!I284)</f>
        <v xml:space="preserve">心理一乙  </v>
      </c>
      <c r="N7" s="10"/>
      <c r="O7" s="10"/>
      <c r="P7" s="10"/>
      <c r="Q7" s="10"/>
      <c r="R7" s="10"/>
    </row>
    <row r="8" spans="1:18" ht="25" customHeight="1" thickBot="1">
      <c r="A8" s="415"/>
      <c r="B8" s="24" t="s">
        <v>192</v>
      </c>
      <c r="C8" s="26" t="str">
        <f>T(總名冊!J264)</f>
        <v>李可郁</v>
      </c>
      <c r="D8" s="26" t="str">
        <f>T(總名冊!I264)</f>
        <v xml:space="preserve">資管一甲  </v>
      </c>
      <c r="E8" s="10"/>
      <c r="F8" s="10"/>
      <c r="G8" s="10"/>
      <c r="H8" s="10"/>
      <c r="I8" s="10"/>
      <c r="J8" s="415"/>
      <c r="K8" s="24" t="s">
        <v>192</v>
      </c>
      <c r="L8" s="26" t="str">
        <f>T(總名冊!J285)</f>
        <v>謝宜芳</v>
      </c>
      <c r="M8" s="26" t="str">
        <f>T(總名冊!I285)</f>
        <v>心理四乙</v>
      </c>
      <c r="N8" s="10"/>
      <c r="O8" s="10"/>
      <c r="P8" s="10"/>
      <c r="Q8" s="10"/>
      <c r="R8" s="10"/>
    </row>
    <row r="9" spans="1:18" ht="25" customHeight="1" thickBot="1">
      <c r="A9" s="416"/>
      <c r="B9" s="24" t="s">
        <v>207</v>
      </c>
      <c r="C9" s="26" t="str">
        <f>T(總名冊!J262)</f>
        <v>卞思甯</v>
      </c>
      <c r="D9" s="26" t="str">
        <f>T(總名冊!I262)</f>
        <v>電機二丁</v>
      </c>
      <c r="E9" s="10"/>
      <c r="F9" s="10"/>
      <c r="G9" s="10"/>
      <c r="H9" s="10"/>
      <c r="I9" s="10"/>
      <c r="J9" s="416"/>
      <c r="K9" s="24" t="s">
        <v>207</v>
      </c>
      <c r="L9" s="26" t="str">
        <f>T(總名冊!J286)</f>
        <v>張舒婷</v>
      </c>
      <c r="M9" s="26" t="str">
        <f>T(總名冊!I286)</f>
        <v xml:space="preserve">生科一甲  </v>
      </c>
      <c r="N9" s="10"/>
      <c r="O9" s="10"/>
      <c r="P9" s="10"/>
      <c r="Q9" s="10"/>
      <c r="R9" s="10"/>
    </row>
    <row r="10" spans="1:18" ht="25" customHeight="1" thickBot="1">
      <c r="A10" s="414">
        <v>87</v>
      </c>
      <c r="B10" s="24" t="s">
        <v>206</v>
      </c>
      <c r="C10" s="26" t="str">
        <f>T(總名冊!J263)</f>
        <v>曾湘容</v>
      </c>
      <c r="D10" s="26" t="str">
        <f>T(總名冊!I263)</f>
        <v xml:space="preserve">建築一甲  </v>
      </c>
      <c r="E10" s="10"/>
      <c r="F10" s="10"/>
      <c r="G10" s="10"/>
      <c r="H10" s="10"/>
      <c r="I10" s="10"/>
      <c r="J10" s="414">
        <v>117</v>
      </c>
      <c r="K10" s="24" t="s">
        <v>206</v>
      </c>
      <c r="L10" s="26" t="str">
        <f>T(總名冊!J287)</f>
        <v>許紫瑜</v>
      </c>
      <c r="M10" s="26" t="str">
        <f>T(總名冊!I287)</f>
        <v xml:space="preserve">資工一甲  </v>
      </c>
      <c r="N10" s="10"/>
      <c r="O10" s="10"/>
      <c r="P10" s="10"/>
      <c r="Q10" s="10"/>
      <c r="R10" s="10"/>
    </row>
    <row r="11" spans="1:18" ht="25" customHeight="1" thickBot="1">
      <c r="A11" s="415"/>
      <c r="B11" s="24" t="s">
        <v>192</v>
      </c>
      <c r="C11" s="26" t="str">
        <f>T(總名冊!J265)</f>
        <v>黃于軒</v>
      </c>
      <c r="D11" s="26" t="str">
        <f>T(總名冊!I265)</f>
        <v xml:space="preserve">公行三甲  </v>
      </c>
      <c r="E11" s="10"/>
      <c r="F11" s="10"/>
      <c r="G11" s="10"/>
      <c r="H11" s="10"/>
      <c r="I11" s="10"/>
      <c r="J11" s="415"/>
      <c r="K11" s="24" t="s">
        <v>192</v>
      </c>
      <c r="L11" s="26" t="str">
        <f>T(總名冊!J288)</f>
        <v>何佳臻</v>
      </c>
      <c r="M11" s="26" t="str">
        <f>T(總名冊!I288)</f>
        <v xml:space="preserve">數媒一甲  </v>
      </c>
      <c r="N11" s="10"/>
      <c r="O11" s="10"/>
      <c r="P11" s="10"/>
      <c r="Q11" s="10"/>
      <c r="R11" s="10"/>
    </row>
    <row r="12" spans="1:18" ht="25" customHeight="1" thickBot="1">
      <c r="A12" s="416"/>
      <c r="B12" s="24" t="s">
        <v>207</v>
      </c>
      <c r="C12" s="26" t="str">
        <f>T(總名冊!J268)</f>
        <v>賴品竹</v>
      </c>
      <c r="D12" s="26" t="str">
        <f>T(總名冊!I268)</f>
        <v xml:space="preserve">資工一乙  </v>
      </c>
      <c r="E12" s="10"/>
      <c r="F12" s="10"/>
      <c r="G12" s="10"/>
      <c r="H12" s="10"/>
      <c r="I12" s="10"/>
      <c r="J12" s="416"/>
      <c r="K12" s="24" t="s">
        <v>207</v>
      </c>
      <c r="L12" s="26" t="str">
        <f>T(總名冊!J289)</f>
        <v>宋怡萱</v>
      </c>
      <c r="M12" s="26" t="str">
        <f>T(總名冊!I289)</f>
        <v>餐旅二甲</v>
      </c>
      <c r="N12" s="10"/>
      <c r="O12" s="10"/>
      <c r="P12" s="10"/>
      <c r="Q12" s="10"/>
      <c r="R12" s="10"/>
    </row>
    <row r="13" spans="1:18" ht="25" customHeight="1" thickBot="1">
      <c r="A13" s="414">
        <v>89</v>
      </c>
      <c r="B13" s="24" t="s">
        <v>206</v>
      </c>
      <c r="C13" s="26" t="str">
        <f>T(總名冊!J269)</f>
        <v>魏恩惠</v>
      </c>
      <c r="D13" s="26" t="str">
        <f>T(總名冊!I269)</f>
        <v xml:space="preserve">資工一甲  </v>
      </c>
      <c r="E13" s="10"/>
      <c r="F13" s="10"/>
      <c r="G13" s="10"/>
      <c r="H13" s="10"/>
      <c r="I13" s="10"/>
      <c r="J13" s="414">
        <v>119</v>
      </c>
      <c r="K13" s="24" t="s">
        <v>206</v>
      </c>
      <c r="L13" s="26" t="str">
        <f>T(總名冊!J290)</f>
        <v>吳昀蓁</v>
      </c>
      <c r="M13" s="26" t="str">
        <f>T(總名冊!I290)</f>
        <v>資管三乙</v>
      </c>
      <c r="N13" s="10"/>
      <c r="O13" s="10"/>
      <c r="P13" s="10"/>
      <c r="Q13" s="10"/>
      <c r="R13" s="10"/>
    </row>
    <row r="14" spans="1:18" ht="25" customHeight="1" thickBot="1">
      <c r="A14" s="415"/>
      <c r="B14" s="24" t="s">
        <v>192</v>
      </c>
      <c r="C14" s="26" t="str">
        <f>T(總名冊!J270)</f>
        <v>沈以婕</v>
      </c>
      <c r="D14" s="26" t="str">
        <f>T(總名冊!I270)</f>
        <v xml:space="preserve">觀光一甲  </v>
      </c>
      <c r="E14" s="10"/>
      <c r="F14" s="10"/>
      <c r="G14" s="10"/>
      <c r="H14" s="10"/>
      <c r="I14" s="10"/>
      <c r="J14" s="415"/>
      <c r="K14" s="24" t="s">
        <v>192</v>
      </c>
      <c r="L14" s="26" t="str">
        <f>T(總名冊!J291)</f>
        <v>李瑋庭</v>
      </c>
      <c r="M14" s="26" t="str">
        <f>T(總名冊!I291)</f>
        <v>餐旅二甲</v>
      </c>
      <c r="N14" s="10"/>
      <c r="O14" s="10"/>
      <c r="P14" s="10"/>
      <c r="Q14" s="10"/>
      <c r="R14" s="10"/>
    </row>
    <row r="15" spans="1:18" ht="25" customHeight="1" thickBot="1">
      <c r="A15" s="416"/>
      <c r="B15" s="24" t="s">
        <v>207</v>
      </c>
      <c r="C15" s="26" t="str">
        <f>T(總名冊!J271)</f>
        <v>蘇郅琦</v>
      </c>
      <c r="D15" s="26" t="str">
        <f>T(總名冊!I271)</f>
        <v>金科學程二</v>
      </c>
      <c r="E15" s="10"/>
      <c r="F15" s="10"/>
      <c r="G15" s="10"/>
      <c r="H15" s="10"/>
      <c r="I15" s="10"/>
      <c r="J15" s="416"/>
      <c r="K15" s="24" t="s">
        <v>207</v>
      </c>
      <c r="L15" s="26" t="str">
        <f>T(總名冊!J267)</f>
        <v>施愛永</v>
      </c>
      <c r="M15" s="26" t="str">
        <f>T(總名冊!I267)</f>
        <v xml:space="preserve">商設三甲  </v>
      </c>
      <c r="N15" s="10"/>
      <c r="O15" s="10"/>
      <c r="P15" s="10"/>
      <c r="Q15" s="10"/>
      <c r="R15" s="10"/>
    </row>
    <row r="16" spans="1:18" ht="25" customHeight="1" thickBot="1">
      <c r="A16" s="414">
        <v>91</v>
      </c>
      <c r="B16" s="24" t="s">
        <v>206</v>
      </c>
      <c r="C16" s="26" t="str">
        <f>T(總名冊!J272)</f>
        <v>陳宣妤</v>
      </c>
      <c r="D16" s="26" t="str">
        <f>T(總名冊!I272)</f>
        <v>公行三甲</v>
      </c>
      <c r="E16" s="10"/>
      <c r="F16" s="10"/>
      <c r="G16" s="10"/>
      <c r="H16" s="10"/>
      <c r="I16" s="10"/>
      <c r="J16" s="414">
        <v>121</v>
      </c>
      <c r="K16" s="24" t="s">
        <v>206</v>
      </c>
      <c r="L16" s="28" t="str">
        <f>T(總名冊!J141)</f>
        <v/>
      </c>
      <c r="M16" s="28" t="str">
        <f>T(總名冊!I141)</f>
        <v/>
      </c>
      <c r="N16" s="30"/>
      <c r="O16" s="30"/>
      <c r="P16" s="30"/>
      <c r="Q16" s="30"/>
      <c r="R16" s="30"/>
    </row>
    <row r="17" spans="1:18" ht="25" customHeight="1" thickBot="1">
      <c r="A17" s="415"/>
      <c r="B17" s="24" t="s">
        <v>192</v>
      </c>
      <c r="C17" s="26" t="str">
        <f>T(總名冊!J273)</f>
        <v>林家伃</v>
      </c>
      <c r="D17" s="26" t="str">
        <f>T(總名冊!I273)</f>
        <v>醫工二甲</v>
      </c>
      <c r="E17" s="10"/>
      <c r="F17" s="10"/>
      <c r="G17" s="10"/>
      <c r="H17" s="10"/>
      <c r="I17" s="10"/>
      <c r="J17" s="415"/>
      <c r="K17" s="24" t="s">
        <v>192</v>
      </c>
      <c r="L17" s="28" t="e">
        <f>T(總名冊!#REF!)</f>
        <v>#REF!</v>
      </c>
      <c r="M17" s="28" t="e">
        <f>T(總名冊!#REF!)</f>
        <v>#REF!</v>
      </c>
      <c r="N17" s="30"/>
      <c r="O17" s="30"/>
      <c r="P17" s="30"/>
      <c r="Q17" s="30"/>
      <c r="R17" s="30"/>
    </row>
    <row r="18" spans="1:18" ht="25" customHeight="1" thickBot="1">
      <c r="A18" s="416"/>
      <c r="B18" s="24" t="s">
        <v>207</v>
      </c>
      <c r="C18" s="26" t="str">
        <f>T(總名冊!J372)</f>
        <v>李侑芯</v>
      </c>
      <c r="D18" s="26" t="str">
        <f>T(總名冊!I372)</f>
        <v>人智二乙</v>
      </c>
      <c r="E18" s="10"/>
      <c r="F18" s="10"/>
      <c r="G18" s="10"/>
      <c r="H18" s="10"/>
      <c r="I18" s="10"/>
      <c r="J18" s="416"/>
      <c r="K18" s="24" t="s">
        <v>207</v>
      </c>
      <c r="L18" s="28" t="str">
        <f>T(總名冊!J295)</f>
        <v>宿管員</v>
      </c>
      <c r="M18" s="28" t="str">
        <f>T(總名冊!I295)</f>
        <v/>
      </c>
      <c r="N18" s="30"/>
      <c r="O18" s="30"/>
      <c r="P18" s="30"/>
      <c r="Q18" s="30"/>
      <c r="R18" s="30"/>
    </row>
    <row r="19" spans="1:18" ht="25" customHeight="1" thickBot="1">
      <c r="A19" s="414">
        <v>93</v>
      </c>
      <c r="B19" s="24" t="s">
        <v>206</v>
      </c>
      <c r="C19" s="28" t="str">
        <f>T(總名冊!J292)</f>
        <v>健管室</v>
      </c>
      <c r="D19" s="28" t="str">
        <f>T(總名冊!I292)</f>
        <v/>
      </c>
      <c r="E19" s="30"/>
      <c r="F19" s="30"/>
      <c r="G19" s="30"/>
      <c r="H19" s="30"/>
      <c r="I19" s="30"/>
      <c r="J19" s="414">
        <v>123</v>
      </c>
      <c r="K19" s="24" t="s">
        <v>206</v>
      </c>
      <c r="L19" s="26" t="str">
        <f>T(總名冊!J2)</f>
        <v>特殊</v>
      </c>
      <c r="M19" s="26" t="str">
        <f>T(總名冊!I2)</f>
        <v/>
      </c>
      <c r="N19" s="10"/>
      <c r="O19" s="10"/>
      <c r="P19" s="10"/>
      <c r="Q19" s="10"/>
      <c r="R19" s="10"/>
    </row>
    <row r="20" spans="1:18" ht="25" customHeight="1" thickBot="1">
      <c r="A20" s="415"/>
      <c r="B20" s="24" t="s">
        <v>192</v>
      </c>
      <c r="C20" s="28" t="str">
        <f>T(總名冊!J294)</f>
        <v>健管室</v>
      </c>
      <c r="D20" s="28" t="str">
        <f>T(總名冊!I294)</f>
        <v/>
      </c>
      <c r="E20" s="30"/>
      <c r="F20" s="30"/>
      <c r="G20" s="30"/>
      <c r="H20" s="30"/>
      <c r="I20" s="30"/>
      <c r="J20" s="415"/>
      <c r="K20" s="24" t="s">
        <v>192</v>
      </c>
      <c r="L20" s="26" t="str">
        <f>T(總名冊!J3)</f>
        <v>林煜晟</v>
      </c>
      <c r="M20" s="26" t="str">
        <f>T(總名冊!I3)</f>
        <v>資管三甲</v>
      </c>
      <c r="N20" s="10"/>
      <c r="O20" s="10"/>
      <c r="P20" s="10"/>
      <c r="Q20" s="10"/>
      <c r="R20" s="10"/>
    </row>
    <row r="21" spans="1:18" ht="25" customHeight="1" thickBot="1">
      <c r="A21" s="416"/>
      <c r="B21" s="24" t="s">
        <v>207</v>
      </c>
      <c r="C21" s="28" t="str">
        <f>T(總名冊!J277)</f>
        <v>儲藏室</v>
      </c>
      <c r="D21" s="28" t="str">
        <f>T(總名冊!I277)</f>
        <v/>
      </c>
      <c r="E21" s="30"/>
      <c r="F21" s="30"/>
      <c r="G21" s="30"/>
      <c r="H21" s="30"/>
      <c r="I21" s="30"/>
      <c r="J21" s="416"/>
      <c r="K21" s="24" t="s">
        <v>207</v>
      </c>
      <c r="L21" s="26" t="str">
        <f>T(總名冊!J4)</f>
        <v>特殊</v>
      </c>
      <c r="M21" s="26" t="str">
        <f>T(總名冊!I4)</f>
        <v/>
      </c>
      <c r="N21" s="10"/>
      <c r="O21" s="10"/>
      <c r="P21" s="10"/>
      <c r="Q21" s="10"/>
      <c r="R21" s="10"/>
    </row>
    <row r="22" spans="1:18" ht="25" customHeight="1" thickBot="1">
      <c r="A22" s="414">
        <v>111</v>
      </c>
      <c r="B22" s="24" t="s">
        <v>206</v>
      </c>
      <c r="C22" s="26" t="str">
        <f>T(總名冊!J278)</f>
        <v>儲藏室</v>
      </c>
      <c r="D22" s="26" t="str">
        <f>T(總名冊!I278)</f>
        <v/>
      </c>
      <c r="E22" s="10"/>
      <c r="F22" s="10"/>
      <c r="G22" s="10"/>
      <c r="H22" s="10"/>
      <c r="I22" s="10"/>
      <c r="J22" s="417">
        <v>125</v>
      </c>
      <c r="K22" s="24" t="s">
        <v>206</v>
      </c>
      <c r="L22" s="26" t="str">
        <f>T(總名冊!J5)</f>
        <v>蔡承佑</v>
      </c>
      <c r="M22" s="26" t="str">
        <f>T(總名冊!I5)</f>
        <v xml:space="preserve">電機三乙  </v>
      </c>
      <c r="N22" s="10"/>
      <c r="O22" s="10"/>
      <c r="P22" s="10"/>
      <c r="Q22" s="10"/>
      <c r="R22" s="10"/>
    </row>
    <row r="23" spans="1:18" ht="25" customHeight="1" thickBot="1">
      <c r="A23" s="415"/>
      <c r="B23" s="24" t="s">
        <v>192</v>
      </c>
      <c r="C23" s="26" t="str">
        <f>T(總名冊!J279)</f>
        <v>儲藏室</v>
      </c>
      <c r="D23" s="26" t="str">
        <f>T(總名冊!I279)</f>
        <v/>
      </c>
      <c r="E23" s="10"/>
      <c r="F23" s="10"/>
      <c r="G23" s="10"/>
      <c r="H23" s="10"/>
      <c r="I23" s="10"/>
      <c r="J23" s="417"/>
      <c r="K23" s="24" t="s">
        <v>192</v>
      </c>
      <c r="L23" s="26" t="str">
        <f>T(總名冊!J6)</f>
        <v>黃晨洲</v>
      </c>
      <c r="M23" s="26" t="str">
        <f>T(總名冊!I6)</f>
        <v xml:space="preserve">電機三乙  </v>
      </c>
      <c r="N23" s="10"/>
      <c r="O23" s="10"/>
      <c r="P23" s="10"/>
      <c r="Q23" s="10"/>
      <c r="R23" s="10"/>
    </row>
    <row r="24" spans="1:18" ht="25" customHeight="1" thickBot="1">
      <c r="A24" s="416"/>
      <c r="B24" s="24" t="s">
        <v>207</v>
      </c>
      <c r="C24" s="26" t="str">
        <f>T(總名冊!J280)</f>
        <v>蔡思筠</v>
      </c>
      <c r="D24" s="39" t="str">
        <f>T(總名冊!I280)</f>
        <v xml:space="preserve">商設一甲  </v>
      </c>
      <c r="E24" s="10"/>
      <c r="F24" s="10"/>
      <c r="G24" s="10"/>
      <c r="H24" s="10"/>
      <c r="I24" s="10"/>
      <c r="J24" s="417"/>
      <c r="K24" s="24" t="s">
        <v>207</v>
      </c>
      <c r="L24" s="26" t="str">
        <f>T(總名冊!J7)</f>
        <v>特殊</v>
      </c>
      <c r="M24" s="26" t="str">
        <f>T(總名冊!I7)</f>
        <v/>
      </c>
      <c r="N24" s="10"/>
      <c r="O24" s="10"/>
      <c r="P24" s="10"/>
      <c r="Q24" s="10"/>
      <c r="R24" s="10"/>
    </row>
    <row r="25" spans="1:18" ht="19" customHeight="1"/>
    <row r="26" spans="1:18" ht="19" customHeight="1"/>
    <row r="27" spans="1:18" ht="19" customHeight="1"/>
    <row r="28" spans="1:18" ht="19" customHeight="1"/>
    <row r="29" spans="1:18" ht="19" customHeight="1"/>
    <row r="30" spans="1:18" ht="19" customHeight="1"/>
    <row r="31" spans="1:18" ht="19" customHeight="1"/>
    <row r="32" spans="1:18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6" ht="4.5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</sheetData>
  <mergeCells count="23">
    <mergeCell ref="A1:R1"/>
    <mergeCell ref="A2:A3"/>
    <mergeCell ref="B2:B3"/>
    <mergeCell ref="C2:C3"/>
    <mergeCell ref="D2:D3"/>
    <mergeCell ref="J2:J3"/>
    <mergeCell ref="K2:K3"/>
    <mergeCell ref="L2:L3"/>
    <mergeCell ref="M2:M3"/>
    <mergeCell ref="A4:A6"/>
    <mergeCell ref="J4:J6"/>
    <mergeCell ref="A7:A9"/>
    <mergeCell ref="J7:J9"/>
    <mergeCell ref="A10:A12"/>
    <mergeCell ref="J10:J12"/>
    <mergeCell ref="A22:A24"/>
    <mergeCell ref="J22:J24"/>
    <mergeCell ref="A13:A15"/>
    <mergeCell ref="J13:J15"/>
    <mergeCell ref="A16:A18"/>
    <mergeCell ref="J16:J18"/>
    <mergeCell ref="A19:A21"/>
    <mergeCell ref="J19:J21"/>
  </mergeCells>
  <phoneticPr fontId="5" type="noConversion"/>
  <printOptions horizontalCentered="1" verticalCentered="1"/>
  <pageMargins left="0.11811023622047245" right="0.11811023622047245" top="0.35433070866141736" bottom="0.15748031496062992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69"/>
  <sheetViews>
    <sheetView zoomScale="70" zoomScaleNormal="70" workbookViewId="0">
      <selection activeCell="F21" sqref="F21"/>
    </sheetView>
  </sheetViews>
  <sheetFormatPr baseColWidth="10" defaultColWidth="9.19921875" defaultRowHeight="14"/>
  <cols>
    <col min="1" max="1" width="6.796875" customWidth="1"/>
    <col min="2" max="2" width="3.796875" customWidth="1"/>
    <col min="3" max="3" width="10.796875" customWidth="1"/>
    <col min="4" max="4" width="11.796875" style="18" customWidth="1"/>
    <col min="5" max="9" width="8.796875" customWidth="1"/>
    <col min="10" max="10" width="6.796875" customWidth="1"/>
    <col min="11" max="11" width="3.796875" customWidth="1"/>
    <col min="12" max="12" width="10.796875" customWidth="1"/>
    <col min="13" max="13" width="17.796875" style="18" bestFit="1" customWidth="1"/>
    <col min="14" max="18" width="8.796875" customWidth="1"/>
  </cols>
  <sheetData>
    <row r="1" spans="1:18" ht="30" customHeight="1" thickBot="1">
      <c r="A1" s="421" t="s">
        <v>218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3"/>
    </row>
    <row r="2" spans="1:18" ht="25" customHeight="1" thickBot="1">
      <c r="A2" s="424" t="s">
        <v>202</v>
      </c>
      <c r="B2" s="426" t="s">
        <v>195</v>
      </c>
      <c r="C2" s="418" t="s">
        <v>201</v>
      </c>
      <c r="D2" s="418" t="s">
        <v>203</v>
      </c>
      <c r="E2" s="27" t="s">
        <v>199</v>
      </c>
      <c r="F2" s="27" t="s">
        <v>196</v>
      </c>
      <c r="G2" s="27" t="s">
        <v>197</v>
      </c>
      <c r="H2" s="27" t="s">
        <v>198</v>
      </c>
      <c r="I2" s="27" t="s">
        <v>200</v>
      </c>
      <c r="J2" s="424" t="s">
        <v>202</v>
      </c>
      <c r="K2" s="426" t="s">
        <v>195</v>
      </c>
      <c r="L2" s="418" t="s">
        <v>201</v>
      </c>
      <c r="M2" s="418" t="s">
        <v>203</v>
      </c>
      <c r="N2" s="27" t="s">
        <v>199</v>
      </c>
      <c r="O2" s="27" t="s">
        <v>196</v>
      </c>
      <c r="P2" s="27" t="s">
        <v>197</v>
      </c>
      <c r="Q2" s="27" t="s">
        <v>198</v>
      </c>
      <c r="R2" s="27" t="s">
        <v>200</v>
      </c>
    </row>
    <row r="3" spans="1:18" ht="25" customHeight="1" thickBot="1">
      <c r="A3" s="425"/>
      <c r="B3" s="427"/>
      <c r="C3" s="420"/>
      <c r="D3" s="420"/>
      <c r="E3" s="27"/>
      <c r="F3" s="27"/>
      <c r="G3" s="27"/>
      <c r="H3" s="27"/>
      <c r="I3" s="27"/>
      <c r="J3" s="425"/>
      <c r="K3" s="427"/>
      <c r="L3" s="420"/>
      <c r="M3" s="420"/>
      <c r="N3" s="27"/>
      <c r="O3" s="27"/>
      <c r="P3" s="27"/>
      <c r="Q3" s="27"/>
      <c r="R3" s="27"/>
    </row>
    <row r="4" spans="1:18" ht="25" customHeight="1" thickBot="1">
      <c r="A4" s="418">
        <v>83</v>
      </c>
      <c r="B4" s="24" t="s">
        <v>206</v>
      </c>
      <c r="C4" s="26" t="str">
        <f>T(總名冊!J296)</f>
        <v>宿管員</v>
      </c>
      <c r="D4" s="26" t="str">
        <f>T(總名冊!I296)</f>
        <v/>
      </c>
      <c r="E4" s="10"/>
      <c r="F4" s="10"/>
      <c r="G4" s="10"/>
      <c r="H4" s="10"/>
      <c r="I4" s="10"/>
      <c r="J4" s="414">
        <v>111</v>
      </c>
      <c r="K4" s="24" t="s">
        <v>206</v>
      </c>
      <c r="L4" s="26" t="str">
        <f>T(總名冊!J317)</f>
        <v>蕭羽歆</v>
      </c>
      <c r="M4" s="26" t="str">
        <f>T(總名冊!I317)</f>
        <v>心理四乙</v>
      </c>
      <c r="N4" s="10"/>
      <c r="O4" s="10"/>
      <c r="P4" s="10"/>
      <c r="Q4" s="10"/>
      <c r="R4" s="10"/>
    </row>
    <row r="5" spans="1:18" ht="25" customHeight="1" thickBot="1">
      <c r="A5" s="419"/>
      <c r="B5" s="24" t="s">
        <v>192</v>
      </c>
      <c r="C5" s="26" t="str">
        <f>T(總名冊!J297)</f>
        <v>宿管員</v>
      </c>
      <c r="D5" s="26" t="str">
        <f>T(總名冊!I297)</f>
        <v/>
      </c>
      <c r="E5" s="25"/>
      <c r="F5" s="25"/>
      <c r="G5" s="25"/>
      <c r="H5" s="25"/>
      <c r="I5" s="25"/>
      <c r="J5" s="415"/>
      <c r="K5" s="24" t="s">
        <v>192</v>
      </c>
      <c r="L5" s="26" t="str">
        <f>T(總名冊!J318)</f>
        <v>陳嘉敏</v>
      </c>
      <c r="M5" s="26" t="str">
        <f>T(總名冊!I318)</f>
        <v>心理四甲</v>
      </c>
      <c r="N5" s="10"/>
      <c r="O5" s="10"/>
      <c r="P5" s="10"/>
      <c r="Q5" s="10"/>
      <c r="R5" s="10"/>
    </row>
    <row r="6" spans="1:18" ht="25" customHeight="1" thickBot="1">
      <c r="A6" s="420"/>
      <c r="B6" s="24" t="s">
        <v>207</v>
      </c>
      <c r="C6" s="26" t="str">
        <f>T(總名冊!J298)</f>
        <v>林愉廩</v>
      </c>
      <c r="D6" s="26" t="str">
        <f>T(總名冊!I298)</f>
        <v xml:space="preserve">醫管一乙  </v>
      </c>
      <c r="E6" s="10"/>
      <c r="F6" s="10"/>
      <c r="G6" s="10"/>
      <c r="H6" s="10"/>
      <c r="I6" s="10"/>
      <c r="J6" s="416"/>
      <c r="K6" s="24" t="s">
        <v>207</v>
      </c>
      <c r="L6" s="26" t="str">
        <f>T(總名冊!J319)</f>
        <v>江亭儀</v>
      </c>
      <c r="M6" s="26" t="str">
        <f>T(總名冊!I319)</f>
        <v>生科三甲</v>
      </c>
      <c r="N6" s="10"/>
      <c r="O6" s="10"/>
      <c r="P6" s="10"/>
      <c r="Q6" s="10"/>
      <c r="R6" s="10"/>
    </row>
    <row r="7" spans="1:18" ht="25" customHeight="1" thickBot="1">
      <c r="A7" s="414">
        <v>85</v>
      </c>
      <c r="B7" s="24" t="s">
        <v>206</v>
      </c>
      <c r="C7" s="26" t="str">
        <f>T(總名冊!J299)</f>
        <v>陳慎英</v>
      </c>
      <c r="D7" s="26" t="str">
        <f>T(總名冊!I299)</f>
        <v>文華一甲</v>
      </c>
      <c r="E7" s="10"/>
      <c r="F7" s="10"/>
      <c r="G7" s="10"/>
      <c r="H7" s="10"/>
      <c r="I7" s="10"/>
      <c r="J7" s="414">
        <v>113</v>
      </c>
      <c r="K7" s="24" t="s">
        <v>206</v>
      </c>
      <c r="L7" s="26" t="str">
        <f>T(總名冊!J320)</f>
        <v>賴姵綺</v>
      </c>
      <c r="M7" s="26" t="str">
        <f>T(總名冊!I320)</f>
        <v>數媒二乙</v>
      </c>
      <c r="N7" s="10"/>
      <c r="O7" s="10"/>
      <c r="P7" s="10"/>
      <c r="Q7" s="10"/>
      <c r="R7" s="10"/>
    </row>
    <row r="8" spans="1:18" ht="25" customHeight="1" thickBot="1">
      <c r="A8" s="415"/>
      <c r="B8" s="24" t="s">
        <v>192</v>
      </c>
      <c r="C8" s="26" t="str">
        <f>T(總名冊!J300)</f>
        <v>吳采甯</v>
      </c>
      <c r="D8" s="26" t="str">
        <f>T(總名冊!I300)</f>
        <v xml:space="preserve">犯防一乙  </v>
      </c>
      <c r="E8" s="10"/>
      <c r="F8" s="10"/>
      <c r="G8" s="10"/>
      <c r="H8" s="10"/>
      <c r="I8" s="10"/>
      <c r="J8" s="415"/>
      <c r="K8" s="24" t="s">
        <v>192</v>
      </c>
      <c r="L8" s="26" t="str">
        <f>T(總名冊!J321)</f>
        <v>葉家妤</v>
      </c>
      <c r="M8" s="26" t="str">
        <f>T(總名冊!I321)</f>
        <v>生科三甲</v>
      </c>
      <c r="N8" s="10"/>
      <c r="O8" s="10"/>
      <c r="P8" s="10"/>
      <c r="Q8" s="10"/>
      <c r="R8" s="10"/>
    </row>
    <row r="9" spans="1:18" ht="25" customHeight="1" thickBot="1">
      <c r="A9" s="416"/>
      <c r="B9" s="24" t="s">
        <v>207</v>
      </c>
      <c r="C9" s="26" t="str">
        <f>T(總名冊!J301)</f>
        <v>林澄慧</v>
      </c>
      <c r="D9" s="26" t="str">
        <f>T(總名冊!I301)</f>
        <v>心理四甲</v>
      </c>
      <c r="E9" s="10"/>
      <c r="F9" s="10"/>
      <c r="G9" s="10"/>
      <c r="H9" s="10"/>
      <c r="I9" s="10"/>
      <c r="J9" s="416"/>
      <c r="K9" s="24" t="s">
        <v>207</v>
      </c>
      <c r="L9" s="26" t="str">
        <f>T(總名冊!J322)</f>
        <v>黃芷琳</v>
      </c>
      <c r="M9" s="26" t="str">
        <f>T(總名冊!I322)</f>
        <v xml:space="preserve">數媒一甲  </v>
      </c>
      <c r="N9" s="10"/>
      <c r="O9" s="10"/>
      <c r="P9" s="10"/>
      <c r="Q9" s="10"/>
      <c r="R9" s="10"/>
    </row>
    <row r="10" spans="1:18" ht="25" customHeight="1" thickBot="1">
      <c r="A10" s="414">
        <v>87</v>
      </c>
      <c r="B10" s="24" t="s">
        <v>206</v>
      </c>
      <c r="C10" s="26" t="str">
        <f>T(總名冊!J302)</f>
        <v>曾子儀</v>
      </c>
      <c r="D10" s="26" t="str">
        <f>T(總名冊!I302)</f>
        <v xml:space="preserve">心理一甲  </v>
      </c>
      <c r="E10" s="10"/>
      <c r="F10" s="10"/>
      <c r="G10" s="10"/>
      <c r="H10" s="10"/>
      <c r="I10" s="10"/>
      <c r="J10" s="414">
        <v>115</v>
      </c>
      <c r="K10" s="24" t="s">
        <v>206</v>
      </c>
      <c r="L10" s="26" t="str">
        <f>T(總名冊!J323)</f>
        <v>蔡毓琳</v>
      </c>
      <c r="M10" s="26" t="str">
        <f>T(總名冊!I323)</f>
        <v xml:space="preserve">生科四甲  </v>
      </c>
      <c r="N10" s="10"/>
      <c r="O10" s="10"/>
      <c r="P10" s="10"/>
      <c r="Q10" s="10"/>
      <c r="R10" s="10"/>
    </row>
    <row r="11" spans="1:18" ht="25" customHeight="1" thickBot="1">
      <c r="A11" s="415"/>
      <c r="B11" s="24" t="s">
        <v>192</v>
      </c>
      <c r="C11" s="26" t="str">
        <f>T(總名冊!J303)</f>
        <v>蕭以昀</v>
      </c>
      <c r="D11" s="26" t="str">
        <f>T(總名冊!I303)</f>
        <v>公行四甲</v>
      </c>
      <c r="E11" s="10"/>
      <c r="F11" s="10"/>
      <c r="G11" s="10"/>
      <c r="H11" s="10"/>
      <c r="I11" s="10"/>
      <c r="J11" s="415"/>
      <c r="K11" s="24" t="s">
        <v>192</v>
      </c>
      <c r="L11" s="26" t="str">
        <f>T(總名冊!J324)</f>
        <v>吳涬妤</v>
      </c>
      <c r="M11" s="26" t="str">
        <f>T(總名冊!I324)</f>
        <v>經濟四甲</v>
      </c>
      <c r="N11" s="10"/>
      <c r="O11" s="10"/>
      <c r="P11" s="10"/>
      <c r="Q11" s="10"/>
      <c r="R11" s="10"/>
    </row>
    <row r="12" spans="1:18" ht="25" customHeight="1" thickBot="1">
      <c r="A12" s="416"/>
      <c r="B12" s="24" t="s">
        <v>207</v>
      </c>
      <c r="C12" s="26" t="str">
        <f>T(總名冊!J304)</f>
        <v>林苡庭</v>
      </c>
      <c r="D12" s="26" t="str">
        <f>T(總名冊!I304)</f>
        <v>犯防三乙</v>
      </c>
      <c r="E12" s="10"/>
      <c r="F12" s="10"/>
      <c r="G12" s="10"/>
      <c r="H12" s="10"/>
      <c r="I12" s="10"/>
      <c r="J12" s="416"/>
      <c r="K12" s="24" t="s">
        <v>207</v>
      </c>
      <c r="L12" s="26" t="str">
        <f>T(總名冊!J325)</f>
        <v>劉于緁</v>
      </c>
      <c r="M12" s="26" t="str">
        <f>T(總名冊!I325)</f>
        <v xml:space="preserve">資管一甲  </v>
      </c>
      <c r="N12" s="10"/>
      <c r="O12" s="10"/>
      <c r="P12" s="10"/>
      <c r="Q12" s="10"/>
      <c r="R12" s="10"/>
    </row>
    <row r="13" spans="1:18" ht="25" customHeight="1" thickBot="1">
      <c r="A13" s="414">
        <v>89</v>
      </c>
      <c r="B13" s="24" t="s">
        <v>206</v>
      </c>
      <c r="C13" s="26" t="str">
        <f>T(總名冊!J305)</f>
        <v>郭佳穎</v>
      </c>
      <c r="D13" s="26" t="str">
        <f>T(總名冊!I305)</f>
        <v>犯防二乙</v>
      </c>
      <c r="E13" s="10"/>
      <c r="F13" s="10"/>
      <c r="G13" s="10"/>
      <c r="H13" s="10"/>
      <c r="I13" s="10"/>
      <c r="J13" s="414">
        <v>117</v>
      </c>
      <c r="K13" s="24" t="s">
        <v>206</v>
      </c>
      <c r="L13" s="26" t="str">
        <f>T(總名冊!J326)</f>
        <v>陳姸希</v>
      </c>
      <c r="M13" s="26" t="str">
        <f>T(總名冊!I326)</f>
        <v xml:space="preserve">數媒一乙  </v>
      </c>
      <c r="N13" s="10"/>
      <c r="O13" s="10"/>
      <c r="P13" s="10"/>
      <c r="Q13" s="10"/>
      <c r="R13" s="10"/>
    </row>
    <row r="14" spans="1:18" ht="25" customHeight="1" thickBot="1">
      <c r="A14" s="415"/>
      <c r="B14" s="24" t="s">
        <v>192</v>
      </c>
      <c r="C14" s="26" t="str">
        <f>T(總名冊!J306)</f>
        <v>楊芷柔</v>
      </c>
      <c r="D14" s="26" t="str">
        <f>T(總名冊!I306)</f>
        <v xml:space="preserve">犯防二乙  </v>
      </c>
      <c r="E14" s="10"/>
      <c r="F14" s="10"/>
      <c r="G14" s="10"/>
      <c r="H14" s="10"/>
      <c r="I14" s="10"/>
      <c r="J14" s="415"/>
      <c r="K14" s="24" t="s">
        <v>192</v>
      </c>
      <c r="L14" s="26" t="str">
        <f>T(總名冊!J329)</f>
        <v>林愉庭</v>
      </c>
      <c r="M14" s="26" t="str">
        <f>T(總名冊!I329)</f>
        <v xml:space="preserve">資工一丙  </v>
      </c>
      <c r="N14" s="10"/>
      <c r="O14" s="10"/>
      <c r="P14" s="10"/>
      <c r="Q14" s="10"/>
      <c r="R14" s="10"/>
    </row>
    <row r="15" spans="1:18" ht="25" customHeight="1" thickBot="1">
      <c r="A15" s="416"/>
      <c r="B15" s="24" t="s">
        <v>207</v>
      </c>
      <c r="C15" s="26" t="e">
        <f>T(總名冊!#REF!)</f>
        <v>#REF!</v>
      </c>
      <c r="D15" s="26" t="e">
        <f>T(總名冊!#REF!)</f>
        <v>#REF!</v>
      </c>
      <c r="E15" s="10"/>
      <c r="F15" s="10"/>
      <c r="G15" s="10"/>
      <c r="H15" s="10"/>
      <c r="I15" s="10"/>
      <c r="J15" s="416"/>
      <c r="K15" s="24" t="s">
        <v>207</v>
      </c>
      <c r="L15" s="26" t="str">
        <f>T(總名冊!J330)</f>
        <v>王芊霖</v>
      </c>
      <c r="M15" s="26" t="str">
        <f>T(總名冊!I330)</f>
        <v xml:space="preserve">金融一甲  </v>
      </c>
      <c r="N15" s="10"/>
      <c r="O15" s="10"/>
      <c r="P15" s="10"/>
      <c r="Q15" s="10"/>
      <c r="R15" s="10"/>
    </row>
    <row r="16" spans="1:18" ht="25" customHeight="1" thickBot="1">
      <c r="A16" s="414">
        <v>91</v>
      </c>
      <c r="B16" s="24" t="s">
        <v>206</v>
      </c>
      <c r="C16" s="26" t="str">
        <f>T(總名冊!J308)</f>
        <v>陳昱瑄</v>
      </c>
      <c r="D16" s="26" t="str">
        <f>T(總名冊!I308)</f>
        <v>人智三乙</v>
      </c>
      <c r="E16" s="10"/>
      <c r="F16" s="10"/>
      <c r="G16" s="10"/>
      <c r="H16" s="10"/>
      <c r="I16" s="10"/>
      <c r="J16" s="414">
        <v>119</v>
      </c>
      <c r="K16" s="24" t="s">
        <v>206</v>
      </c>
      <c r="L16" s="26" t="str">
        <f>T(總名冊!J331)</f>
        <v>周昕霓</v>
      </c>
      <c r="M16" s="26" t="str">
        <f>T(總名冊!I331)</f>
        <v xml:space="preserve">人智一甲  </v>
      </c>
      <c r="N16" s="10"/>
      <c r="O16" s="10"/>
      <c r="P16" s="10"/>
      <c r="Q16" s="10"/>
      <c r="R16" s="10"/>
    </row>
    <row r="17" spans="1:18" ht="25" customHeight="1" thickBot="1">
      <c r="A17" s="415"/>
      <c r="B17" s="24" t="s">
        <v>192</v>
      </c>
      <c r="C17" s="26" t="str">
        <f>T(總名冊!J309)</f>
        <v>洪宥歆</v>
      </c>
      <c r="D17" s="26" t="str">
        <f>T(總名冊!I309)</f>
        <v xml:space="preserve">醫管一甲  </v>
      </c>
      <c r="E17" s="10"/>
      <c r="F17" s="10"/>
      <c r="G17" s="10"/>
      <c r="H17" s="10"/>
      <c r="I17" s="10"/>
      <c r="J17" s="415"/>
      <c r="K17" s="24" t="s">
        <v>192</v>
      </c>
      <c r="L17" s="26" t="str">
        <f>T(總名冊!J332)</f>
        <v>賴宣妤</v>
      </c>
      <c r="M17" s="26" t="str">
        <f>T(總名冊!I332)</f>
        <v xml:space="preserve">公行一甲  </v>
      </c>
      <c r="N17" s="10"/>
      <c r="O17" s="10"/>
      <c r="P17" s="10"/>
      <c r="Q17" s="10"/>
      <c r="R17" s="10"/>
    </row>
    <row r="18" spans="1:18" ht="25" customHeight="1" thickBot="1">
      <c r="A18" s="416"/>
      <c r="B18" s="24" t="s">
        <v>207</v>
      </c>
      <c r="C18" s="26" t="str">
        <f>T(總名冊!J310)</f>
        <v>馮梓媛</v>
      </c>
      <c r="D18" s="26" t="str">
        <f>T(總名冊!I310)</f>
        <v>電機三丙</v>
      </c>
      <c r="E18" s="10"/>
      <c r="F18" s="10"/>
      <c r="G18" s="10"/>
      <c r="H18" s="10"/>
      <c r="I18" s="10"/>
      <c r="J18" s="416"/>
      <c r="K18" s="24" t="s">
        <v>207</v>
      </c>
      <c r="L18" s="26" t="str">
        <f>T(總名冊!J333)</f>
        <v>邱沛涵</v>
      </c>
      <c r="M18" s="26" t="str">
        <f>T(總名冊!I333)</f>
        <v xml:space="preserve">資管一丙  </v>
      </c>
      <c r="N18" s="25"/>
      <c r="O18" s="25"/>
      <c r="P18" s="25"/>
      <c r="Q18" s="25"/>
      <c r="R18" s="25"/>
    </row>
    <row r="19" spans="1:18" ht="25" customHeight="1" thickBot="1">
      <c r="A19" s="414">
        <v>93</v>
      </c>
      <c r="B19" s="24" t="s">
        <v>206</v>
      </c>
      <c r="C19" s="26" t="str">
        <f>T(總名冊!J311)</f>
        <v>林宜蘋</v>
      </c>
      <c r="D19" s="26" t="str">
        <f>T(總名冊!I311)</f>
        <v>電機三丙</v>
      </c>
      <c r="E19" s="10"/>
      <c r="F19" s="10"/>
      <c r="G19" s="10"/>
      <c r="H19" s="10"/>
      <c r="I19" s="10"/>
      <c r="J19" s="414">
        <v>121</v>
      </c>
      <c r="K19" s="24" t="s">
        <v>206</v>
      </c>
      <c r="L19" s="26" t="str">
        <f>T(總名冊!J334)</f>
        <v>洪靖恩</v>
      </c>
      <c r="M19" s="26" t="str">
        <f>T(總名冊!I334)</f>
        <v xml:space="preserve">心理一甲  </v>
      </c>
      <c r="N19" s="10"/>
      <c r="O19" s="10"/>
      <c r="P19" s="10"/>
      <c r="Q19" s="10"/>
      <c r="R19" s="10"/>
    </row>
    <row r="20" spans="1:18" ht="25" customHeight="1" thickBot="1">
      <c r="A20" s="415"/>
      <c r="B20" s="24" t="s">
        <v>192</v>
      </c>
      <c r="C20" s="26" t="str">
        <f>T(總名冊!J312)</f>
        <v>黃子晅</v>
      </c>
      <c r="D20" s="26" t="str">
        <f>T(總名冊!I312)</f>
        <v>電機三丙</v>
      </c>
      <c r="E20" s="10"/>
      <c r="F20" s="10"/>
      <c r="G20" s="10"/>
      <c r="H20" s="10"/>
      <c r="I20" s="10"/>
      <c r="J20" s="415"/>
      <c r="K20" s="24" t="s">
        <v>192</v>
      </c>
      <c r="L20" s="26" t="str">
        <f>T(總名冊!J335)</f>
        <v>李昀倩</v>
      </c>
      <c r="M20" s="26" t="str">
        <f>T(總名冊!I335)</f>
        <v xml:space="preserve">應日一乙  </v>
      </c>
      <c r="N20" s="10"/>
      <c r="O20" s="10"/>
      <c r="P20" s="10"/>
      <c r="Q20" s="10"/>
      <c r="R20" s="10"/>
    </row>
    <row r="21" spans="1:18" ht="25" customHeight="1" thickBot="1">
      <c r="A21" s="416"/>
      <c r="B21" s="24" t="s">
        <v>207</v>
      </c>
      <c r="C21" s="26" t="str">
        <f>T(總名冊!J313)</f>
        <v>王靖雯</v>
      </c>
      <c r="D21" s="26" t="str">
        <f>T(總名冊!I313)</f>
        <v xml:space="preserve">資工四甲  </v>
      </c>
      <c r="E21" s="10"/>
      <c r="F21" s="10"/>
      <c r="G21" s="10"/>
      <c r="H21" s="10"/>
      <c r="I21" s="10"/>
      <c r="J21" s="416"/>
      <c r="K21" s="24" t="s">
        <v>207</v>
      </c>
      <c r="L21" s="26" t="str">
        <f>T(總名冊!J336)</f>
        <v>陳星妤</v>
      </c>
      <c r="M21" s="26" t="str">
        <f>T(總名冊!I336)</f>
        <v>金融二甲</v>
      </c>
      <c r="N21" s="10"/>
      <c r="O21" s="10"/>
      <c r="P21" s="10"/>
      <c r="Q21" s="10"/>
      <c r="R21" s="10"/>
    </row>
    <row r="22" spans="1:18" ht="25" customHeight="1" thickBot="1">
      <c r="A22" s="414">
        <v>95</v>
      </c>
      <c r="B22" s="24" t="s">
        <v>206</v>
      </c>
      <c r="C22" s="26" t="str">
        <f>T(總名冊!J314)</f>
        <v>李亭儀</v>
      </c>
      <c r="D22" s="26" t="str">
        <f>T(總名冊!I314)</f>
        <v xml:space="preserve">資工四乙  </v>
      </c>
      <c r="E22" s="10"/>
      <c r="F22" s="10"/>
      <c r="G22" s="10"/>
      <c r="H22" s="10"/>
      <c r="I22" s="10"/>
      <c r="J22" s="417">
        <v>123</v>
      </c>
      <c r="K22" s="24" t="s">
        <v>206</v>
      </c>
      <c r="L22" s="26" t="str">
        <f>T(總名冊!J337)</f>
        <v>謝汶圻</v>
      </c>
      <c r="M22" s="26" t="str">
        <f>T(總名冊!I337)</f>
        <v xml:space="preserve">心理一甲  </v>
      </c>
      <c r="N22" s="10"/>
      <c r="O22" s="10"/>
      <c r="P22" s="10"/>
      <c r="Q22" s="10"/>
      <c r="R22" s="10"/>
    </row>
    <row r="23" spans="1:18" ht="25" customHeight="1" thickBot="1">
      <c r="A23" s="415"/>
      <c r="B23" s="24" t="s">
        <v>192</v>
      </c>
      <c r="C23" s="26" t="str">
        <f>T(總名冊!J315)</f>
        <v>黃湘媛</v>
      </c>
      <c r="D23" s="26" t="str">
        <f>T(總名冊!I315)</f>
        <v xml:space="preserve">資工四甲  </v>
      </c>
      <c r="E23" s="10"/>
      <c r="F23" s="10"/>
      <c r="G23" s="10"/>
      <c r="H23" s="10"/>
      <c r="I23" s="10"/>
      <c r="J23" s="417"/>
      <c r="K23" s="24" t="s">
        <v>192</v>
      </c>
      <c r="L23" s="26" t="str">
        <f>T(總名冊!J338)</f>
        <v>李莘渝</v>
      </c>
      <c r="M23" s="26" t="str">
        <f>T(總名冊!I338)</f>
        <v xml:space="preserve">應英一甲  </v>
      </c>
      <c r="N23" s="10"/>
      <c r="O23" s="10"/>
      <c r="P23" s="10"/>
      <c r="Q23" s="10"/>
      <c r="R23" s="10"/>
    </row>
    <row r="24" spans="1:18" ht="25" customHeight="1" thickBot="1">
      <c r="A24" s="416"/>
      <c r="B24" s="24" t="s">
        <v>207</v>
      </c>
      <c r="C24" s="26" t="str">
        <f>T(總名冊!J316)</f>
        <v>林筠青</v>
      </c>
      <c r="D24" s="26" t="str">
        <f>T(總名冊!I316)</f>
        <v xml:space="preserve">資管一丙  </v>
      </c>
      <c r="E24" s="10"/>
      <c r="F24" s="10"/>
      <c r="G24" s="10"/>
      <c r="H24" s="10"/>
      <c r="I24" s="10"/>
      <c r="J24" s="417"/>
      <c r="K24" s="24" t="s">
        <v>207</v>
      </c>
      <c r="L24" s="26" t="str">
        <f>T(總名冊!J339)</f>
        <v>張韶妤</v>
      </c>
      <c r="M24" s="26" t="str">
        <f>T(總名冊!I339)</f>
        <v xml:space="preserve">生科一乙  </v>
      </c>
      <c r="N24" s="10"/>
      <c r="O24" s="10"/>
      <c r="P24" s="10"/>
      <c r="Q24" s="10"/>
      <c r="R24" s="10"/>
    </row>
    <row r="25" spans="1:18" ht="19" customHeight="1"/>
    <row r="26" spans="1:18" ht="19" customHeight="1"/>
    <row r="27" spans="1:18" ht="19" customHeight="1"/>
    <row r="28" spans="1:18" ht="19" customHeight="1"/>
    <row r="29" spans="1:18" ht="19" customHeight="1"/>
    <row r="30" spans="1:18" ht="19" customHeight="1"/>
    <row r="31" spans="1:18" ht="19" customHeight="1"/>
    <row r="32" spans="1:18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6" ht="4.5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</sheetData>
  <mergeCells count="23">
    <mergeCell ref="A1:R1"/>
    <mergeCell ref="A2:A3"/>
    <mergeCell ref="B2:B3"/>
    <mergeCell ref="C2:C3"/>
    <mergeCell ref="D2:D3"/>
    <mergeCell ref="J2:J3"/>
    <mergeCell ref="K2:K3"/>
    <mergeCell ref="L2:L3"/>
    <mergeCell ref="M2:M3"/>
    <mergeCell ref="A4:A6"/>
    <mergeCell ref="J4:J6"/>
    <mergeCell ref="A7:A9"/>
    <mergeCell ref="J7:J9"/>
    <mergeCell ref="A10:A12"/>
    <mergeCell ref="J10:J12"/>
    <mergeCell ref="A22:A24"/>
    <mergeCell ref="J22:J24"/>
    <mergeCell ref="A13:A15"/>
    <mergeCell ref="J13:J15"/>
    <mergeCell ref="A16:A18"/>
    <mergeCell ref="J16:J18"/>
    <mergeCell ref="A19:A21"/>
    <mergeCell ref="J19:J21"/>
  </mergeCells>
  <phoneticPr fontId="5" type="noConversion"/>
  <printOptions horizontalCentered="1" verticalCentered="1"/>
  <pageMargins left="0.11811023622047245" right="0.11811023622047245" top="0.35433070866141736" bottom="0.15748031496062992" header="0.31496062992125984" footer="0.31496062992125984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69"/>
  <sheetViews>
    <sheetView zoomScale="70" zoomScaleNormal="70" workbookViewId="0">
      <selection activeCell="F21" sqref="F21"/>
    </sheetView>
  </sheetViews>
  <sheetFormatPr baseColWidth="10" defaultColWidth="9.19921875" defaultRowHeight="14"/>
  <cols>
    <col min="1" max="1" width="6.796875" customWidth="1"/>
    <col min="2" max="2" width="3.796875" customWidth="1"/>
    <col min="3" max="3" width="10.796875" customWidth="1"/>
    <col min="4" max="4" width="15.3984375" style="18" customWidth="1"/>
    <col min="5" max="9" width="8.796875" customWidth="1"/>
    <col min="10" max="10" width="6.796875" customWidth="1"/>
    <col min="11" max="11" width="3.796875" customWidth="1"/>
    <col min="12" max="12" width="10.796875" customWidth="1"/>
    <col min="13" max="13" width="17.796875" style="18" bestFit="1" customWidth="1"/>
    <col min="14" max="18" width="8.796875" customWidth="1"/>
  </cols>
  <sheetData>
    <row r="1" spans="1:18" ht="30" customHeight="1" thickBot="1">
      <c r="A1" s="421" t="s">
        <v>222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3"/>
    </row>
    <row r="2" spans="1:18" ht="25" customHeight="1" thickBot="1">
      <c r="A2" s="424" t="s">
        <v>211</v>
      </c>
      <c r="B2" s="426" t="s">
        <v>195</v>
      </c>
      <c r="C2" s="418" t="s">
        <v>201</v>
      </c>
      <c r="D2" s="418" t="s">
        <v>203</v>
      </c>
      <c r="E2" s="27" t="s">
        <v>199</v>
      </c>
      <c r="F2" s="27" t="s">
        <v>196</v>
      </c>
      <c r="G2" s="27" t="s">
        <v>197</v>
      </c>
      <c r="H2" s="27" t="s">
        <v>198</v>
      </c>
      <c r="I2" s="27" t="s">
        <v>200</v>
      </c>
      <c r="J2" s="424" t="s">
        <v>211</v>
      </c>
      <c r="K2" s="426" t="s">
        <v>195</v>
      </c>
      <c r="L2" s="418" t="s">
        <v>201</v>
      </c>
      <c r="M2" s="418" t="s">
        <v>203</v>
      </c>
      <c r="N2" s="27" t="s">
        <v>199</v>
      </c>
      <c r="O2" s="27" t="s">
        <v>196</v>
      </c>
      <c r="P2" s="27" t="s">
        <v>197</v>
      </c>
      <c r="Q2" s="27" t="s">
        <v>198</v>
      </c>
      <c r="R2" s="27" t="s">
        <v>200</v>
      </c>
    </row>
    <row r="3" spans="1:18" ht="25" customHeight="1" thickBot="1">
      <c r="A3" s="425"/>
      <c r="B3" s="427"/>
      <c r="C3" s="420"/>
      <c r="D3" s="420"/>
      <c r="E3" s="27"/>
      <c r="F3" s="27"/>
      <c r="G3" s="27"/>
      <c r="H3" s="27"/>
      <c r="I3" s="27"/>
      <c r="J3" s="425"/>
      <c r="K3" s="427"/>
      <c r="L3" s="420"/>
      <c r="M3" s="420"/>
      <c r="N3" s="27"/>
      <c r="O3" s="27"/>
      <c r="P3" s="27"/>
      <c r="Q3" s="27"/>
      <c r="R3" s="27"/>
    </row>
    <row r="4" spans="1:18" ht="25" customHeight="1" thickBot="1">
      <c r="A4" s="418">
        <v>83</v>
      </c>
      <c r="B4" s="24" t="s">
        <v>206</v>
      </c>
      <c r="C4" s="28" t="str">
        <f>T(總名冊!J382)</f>
        <v>武秋河</v>
      </c>
      <c r="D4" s="26" t="str">
        <f>T(總名冊!I382)</f>
        <v>生科一丙</v>
      </c>
      <c r="E4" s="10"/>
      <c r="F4" s="10"/>
      <c r="G4" s="10"/>
      <c r="H4" s="10"/>
      <c r="I4" s="10"/>
      <c r="J4" s="414">
        <v>111</v>
      </c>
      <c r="K4" s="24" t="s">
        <v>206</v>
      </c>
      <c r="L4" s="26" t="str">
        <f>T(總名冊!J403)</f>
        <v>游佩蓉</v>
      </c>
      <c r="M4" s="26" t="str">
        <f>T(總名冊!I403)</f>
        <v xml:space="preserve">心理二乙  </v>
      </c>
      <c r="N4" s="10"/>
      <c r="O4" s="10"/>
      <c r="P4" s="10"/>
      <c r="Q4" s="10"/>
      <c r="R4" s="10"/>
    </row>
    <row r="5" spans="1:18" ht="25" customHeight="1" thickBot="1">
      <c r="A5" s="419"/>
      <c r="B5" s="24" t="s">
        <v>192</v>
      </c>
      <c r="C5" s="28" t="str">
        <f>T(總名冊!J383)</f>
        <v>楊郁苹</v>
      </c>
      <c r="D5" s="26" t="str">
        <f>T(總名冊!I383)</f>
        <v>商設三甲</v>
      </c>
      <c r="E5" s="25"/>
      <c r="F5" s="25"/>
      <c r="G5" s="25"/>
      <c r="H5" s="25"/>
      <c r="I5" s="25"/>
      <c r="J5" s="415"/>
      <c r="K5" s="24" t="s">
        <v>192</v>
      </c>
      <c r="L5" s="26" t="str">
        <f>T(總名冊!J404)</f>
        <v>何寬心</v>
      </c>
      <c r="M5" s="26" t="str">
        <f>T(總名冊!I404)</f>
        <v xml:space="preserve">心理二甲  </v>
      </c>
      <c r="N5" s="10"/>
      <c r="O5" s="10"/>
      <c r="P5" s="10"/>
      <c r="Q5" s="10"/>
      <c r="R5" s="10"/>
    </row>
    <row r="6" spans="1:18" ht="25" customHeight="1" thickBot="1">
      <c r="A6" s="420"/>
      <c r="B6" s="24" t="s">
        <v>207</v>
      </c>
      <c r="C6" s="28" t="str">
        <f>T(總名冊!J384)</f>
        <v>蘇于晴</v>
      </c>
      <c r="D6" s="26" t="str">
        <f>T(總名冊!I384)</f>
        <v>統資四甲</v>
      </c>
      <c r="E6" s="10"/>
      <c r="F6" s="10"/>
      <c r="G6" s="10"/>
      <c r="H6" s="10"/>
      <c r="I6" s="10"/>
      <c r="J6" s="416"/>
      <c r="K6" s="24" t="s">
        <v>207</v>
      </c>
      <c r="L6" s="26" t="str">
        <f>T(總名冊!J405)</f>
        <v>李琦淨</v>
      </c>
      <c r="M6" s="26" t="str">
        <f>T(總名冊!I405)</f>
        <v>金科一甲</v>
      </c>
      <c r="N6" s="10"/>
      <c r="O6" s="10"/>
      <c r="P6" s="10"/>
      <c r="Q6" s="10"/>
      <c r="R6" s="10"/>
    </row>
    <row r="7" spans="1:18" ht="25" customHeight="1" thickBot="1">
      <c r="A7" s="414">
        <v>85</v>
      </c>
      <c r="B7" s="24" t="s">
        <v>206</v>
      </c>
      <c r="C7" s="29" t="str">
        <f>T(總名冊!J385)</f>
        <v>神里常夏</v>
      </c>
      <c r="D7" s="26" t="str">
        <f>T(總名冊!I385)</f>
        <v>觀光學程三</v>
      </c>
      <c r="E7" s="10"/>
      <c r="F7" s="10"/>
      <c r="G7" s="10"/>
      <c r="H7" s="10"/>
      <c r="I7" s="10"/>
      <c r="J7" s="414">
        <v>113</v>
      </c>
      <c r="K7" s="24" t="s">
        <v>206</v>
      </c>
      <c r="L7" s="29" t="e">
        <f>T(總名冊!#REF!)</f>
        <v>#REF!</v>
      </c>
      <c r="M7" s="26" t="e">
        <f>T(總名冊!#REF!)</f>
        <v>#REF!</v>
      </c>
      <c r="N7" s="10"/>
      <c r="O7" s="10"/>
      <c r="P7" s="10"/>
      <c r="Q7" s="10"/>
      <c r="R7" s="10"/>
    </row>
    <row r="8" spans="1:18" ht="25" customHeight="1" thickBot="1">
      <c r="A8" s="415"/>
      <c r="B8" s="24" t="s">
        <v>192</v>
      </c>
      <c r="C8" s="29" t="str">
        <f>T(總名冊!J386)</f>
        <v>網師野愛華</v>
      </c>
      <c r="D8" s="26" t="str">
        <f>T(總名冊!I386)</f>
        <v>應日三甲</v>
      </c>
      <c r="E8" s="10"/>
      <c r="F8" s="10"/>
      <c r="G8" s="10"/>
      <c r="H8" s="10"/>
      <c r="I8" s="10"/>
      <c r="J8" s="415"/>
      <c r="K8" s="24" t="s">
        <v>192</v>
      </c>
      <c r="L8" s="29" t="e">
        <f>T(總名冊!#REF!)</f>
        <v>#REF!</v>
      </c>
      <c r="M8" s="26" t="e">
        <f>T(總名冊!#REF!)</f>
        <v>#REF!</v>
      </c>
      <c r="N8" s="10"/>
      <c r="O8" s="10"/>
      <c r="P8" s="10"/>
      <c r="Q8" s="10"/>
      <c r="R8" s="10"/>
    </row>
    <row r="9" spans="1:18" ht="25" customHeight="1" thickBot="1">
      <c r="A9" s="416"/>
      <c r="B9" s="24" t="s">
        <v>207</v>
      </c>
      <c r="C9" s="29" t="e">
        <f>T(總名冊!#REF!)</f>
        <v>#REF!</v>
      </c>
      <c r="D9" s="26" t="e">
        <f>T(總名冊!#REF!)</f>
        <v>#REF!</v>
      </c>
      <c r="E9" s="10"/>
      <c r="F9" s="10"/>
      <c r="G9" s="10"/>
      <c r="H9" s="10"/>
      <c r="I9" s="10"/>
      <c r="J9" s="416"/>
      <c r="K9" s="24" t="s">
        <v>207</v>
      </c>
      <c r="L9" s="28" t="str">
        <f>T(總名冊!J406)</f>
        <v>蘇玟臻</v>
      </c>
      <c r="M9" s="26" t="str">
        <f>T(總名冊!I406)</f>
        <v>資管三乙</v>
      </c>
      <c r="N9" s="10"/>
      <c r="O9" s="10"/>
      <c r="P9" s="10"/>
      <c r="Q9" s="10"/>
      <c r="R9" s="10"/>
    </row>
    <row r="10" spans="1:18" ht="25" customHeight="1" thickBot="1">
      <c r="A10" s="414">
        <v>87</v>
      </c>
      <c r="B10" s="24" t="s">
        <v>206</v>
      </c>
      <c r="C10" s="37" t="str">
        <f>T(總名冊!J388)</f>
        <v>阮黎懷商</v>
      </c>
      <c r="D10" s="26" t="str">
        <f>T(總名冊!I388)</f>
        <v>觀光二乙</v>
      </c>
      <c r="E10" s="10"/>
      <c r="F10" s="10"/>
      <c r="G10" s="10"/>
      <c r="H10" s="10"/>
      <c r="I10" s="10"/>
      <c r="J10" s="414">
        <v>115</v>
      </c>
      <c r="K10" s="24" t="s">
        <v>206</v>
      </c>
      <c r="L10" s="38" t="str">
        <f>T(總名冊!J407)</f>
        <v>SOLIZ AMISHA VENESIA</v>
      </c>
      <c r="M10" s="26" t="str">
        <f>T(總名冊!I407)</f>
        <v>觀光學程一</v>
      </c>
      <c r="N10" s="10"/>
      <c r="O10" s="10"/>
      <c r="P10" s="10"/>
      <c r="Q10" s="10"/>
      <c r="R10" s="10"/>
    </row>
    <row r="11" spans="1:18" ht="25" customHeight="1" thickBot="1">
      <c r="A11" s="415"/>
      <c r="B11" s="24" t="s">
        <v>192</v>
      </c>
      <c r="C11" s="29" t="str">
        <f>T(總名冊!J389)</f>
        <v>阮氏明秋</v>
      </c>
      <c r="D11" s="26" t="str">
        <f>T(總名冊!I389)</f>
        <v>觀光二乙</v>
      </c>
      <c r="E11" s="10"/>
      <c r="F11" s="10"/>
      <c r="G11" s="10"/>
      <c r="H11" s="10"/>
      <c r="I11" s="10"/>
      <c r="J11" s="415"/>
      <c r="K11" s="24" t="s">
        <v>192</v>
      </c>
      <c r="L11" s="38" t="e">
        <f>T(總名冊!#REF!)</f>
        <v>#REF!</v>
      </c>
      <c r="M11" s="26" t="e">
        <f>T(總名冊!#REF!)</f>
        <v>#REF!</v>
      </c>
      <c r="N11" s="10"/>
      <c r="O11" s="10"/>
      <c r="P11" s="10"/>
      <c r="Q11" s="10"/>
      <c r="R11" s="10"/>
    </row>
    <row r="12" spans="1:18" ht="25" customHeight="1" thickBot="1">
      <c r="A12" s="416"/>
      <c r="B12" s="24" t="s">
        <v>207</v>
      </c>
      <c r="C12" s="29" t="str">
        <f>T(總名冊!J390)</f>
        <v>阮氏白燕</v>
      </c>
      <c r="D12" s="26" t="str">
        <f>T(總名冊!I390)</f>
        <v>休憩二乙</v>
      </c>
      <c r="E12" s="10"/>
      <c r="F12" s="10"/>
      <c r="G12" s="10"/>
      <c r="H12" s="10"/>
      <c r="I12" s="10"/>
      <c r="J12" s="416"/>
      <c r="K12" s="24" t="s">
        <v>207</v>
      </c>
      <c r="L12" s="38" t="str">
        <f>T(總名冊!J409)</f>
        <v>THAN MAI PHUONG</v>
      </c>
      <c r="M12" s="26" t="str">
        <f>T(總名冊!I409)</f>
        <v>觀光學程三</v>
      </c>
      <c r="N12" s="10"/>
      <c r="O12" s="10"/>
      <c r="P12" s="10"/>
      <c r="Q12" s="10"/>
      <c r="R12" s="10"/>
    </row>
    <row r="13" spans="1:18" ht="25" customHeight="1" thickBot="1">
      <c r="A13" s="414">
        <v>89</v>
      </c>
      <c r="B13" s="24" t="s">
        <v>206</v>
      </c>
      <c r="C13" s="29" t="str">
        <f>T(總名冊!J391)</f>
        <v>林惟眞</v>
      </c>
      <c r="D13" s="26" t="str">
        <f>T(總名冊!I391)</f>
        <v>電機三甲</v>
      </c>
      <c r="E13" s="10"/>
      <c r="F13" s="10"/>
      <c r="G13" s="10"/>
      <c r="H13" s="10"/>
      <c r="I13" s="10"/>
      <c r="J13" s="414">
        <v>117</v>
      </c>
      <c r="K13" s="24" t="s">
        <v>206</v>
      </c>
      <c r="L13" s="26" t="str">
        <f>T(總名冊!J410)</f>
        <v>NGUYEN NGOC DIEM</v>
      </c>
      <c r="M13" s="26" t="str">
        <f>T(總名冊!I410)</f>
        <v>觀光學程三</v>
      </c>
      <c r="N13" s="10"/>
      <c r="O13" s="10"/>
      <c r="P13" s="10"/>
      <c r="Q13" s="10"/>
      <c r="R13" s="10"/>
    </row>
    <row r="14" spans="1:18" ht="25" customHeight="1" thickBot="1">
      <c r="A14" s="415"/>
      <c r="B14" s="24" t="s">
        <v>192</v>
      </c>
      <c r="C14" s="29" t="str">
        <f>T(總名冊!J392)</f>
        <v>朴证仁</v>
      </c>
      <c r="D14" s="26" t="str">
        <f>T(總名冊!I392)</f>
        <v>觀光學程三</v>
      </c>
      <c r="E14" s="10"/>
      <c r="F14" s="10"/>
      <c r="G14" s="10"/>
      <c r="H14" s="10"/>
      <c r="I14" s="10"/>
      <c r="J14" s="415"/>
      <c r="K14" s="24" t="s">
        <v>192</v>
      </c>
      <c r="L14" s="29" t="str">
        <f>T(總名冊!J411)</f>
        <v>DO DUONG MINH NGOC</v>
      </c>
      <c r="M14" s="26" t="str">
        <f>T(總名冊!I411)</f>
        <v>觀光學程三</v>
      </c>
      <c r="N14" s="10"/>
      <c r="O14" s="10"/>
      <c r="P14" s="10"/>
      <c r="Q14" s="10"/>
      <c r="R14" s="10"/>
    </row>
    <row r="15" spans="1:18" ht="25" customHeight="1" thickBot="1">
      <c r="A15" s="416"/>
      <c r="B15" s="24" t="s">
        <v>207</v>
      </c>
      <c r="C15" s="29" t="str">
        <f>T(總名冊!J393)</f>
        <v>莊詠涵</v>
      </c>
      <c r="D15" s="26" t="str">
        <f>T(總名冊!I393)</f>
        <v>建築一甲</v>
      </c>
      <c r="E15" s="10"/>
      <c r="F15" s="10"/>
      <c r="G15" s="10"/>
      <c r="H15" s="10"/>
      <c r="I15" s="10"/>
      <c r="J15" s="416"/>
      <c r="K15" s="24" t="s">
        <v>207</v>
      </c>
      <c r="L15" s="29" t="str">
        <f>T(總名冊!J412)</f>
        <v>范氏明恆</v>
      </c>
      <c r="M15" s="26" t="str">
        <f>T(總名冊!I412)</f>
        <v>生科二丙</v>
      </c>
      <c r="N15" s="10"/>
      <c r="O15" s="10"/>
      <c r="P15" s="10"/>
      <c r="Q15" s="10"/>
      <c r="R15" s="10"/>
    </row>
    <row r="16" spans="1:18" ht="25" customHeight="1" thickBot="1">
      <c r="A16" s="414">
        <v>91</v>
      </c>
      <c r="B16" s="24" t="s">
        <v>206</v>
      </c>
      <c r="C16" s="29" t="str">
        <f>T(總名冊!J394)</f>
        <v>PHAM HONG BANG</v>
      </c>
      <c r="D16" s="26" t="str">
        <f>T(總名冊!I394)</f>
        <v>外交學程一</v>
      </c>
      <c r="E16" s="10"/>
      <c r="F16" s="10"/>
      <c r="G16" s="10"/>
      <c r="H16" s="10"/>
      <c r="I16" s="10"/>
      <c r="J16" s="414">
        <v>119</v>
      </c>
      <c r="K16" s="24" t="s">
        <v>206</v>
      </c>
      <c r="L16" s="29" t="str">
        <f>T(總名冊!J413)</f>
        <v>丁氏河妝</v>
      </c>
      <c r="M16" s="26" t="str">
        <f>T(總名冊!I413)</f>
        <v>生科二丙</v>
      </c>
      <c r="N16" s="10"/>
      <c r="O16" s="10"/>
      <c r="P16" s="10"/>
      <c r="Q16" s="10"/>
      <c r="R16" s="10"/>
    </row>
    <row r="17" spans="1:18" ht="25" customHeight="1" thickBot="1">
      <c r="A17" s="415"/>
      <c r="B17" s="24" t="s">
        <v>192</v>
      </c>
      <c r="C17" s="29" t="str">
        <f>T(總名冊!J395)</f>
        <v>黎阮何芳</v>
      </c>
      <c r="D17" s="26" t="str">
        <f>T(總名冊!I395)</f>
        <v>觀光學程四</v>
      </c>
      <c r="E17" s="10"/>
      <c r="F17" s="10"/>
      <c r="G17" s="10"/>
      <c r="H17" s="10"/>
      <c r="I17" s="10"/>
      <c r="J17" s="415"/>
      <c r="K17" s="24" t="s">
        <v>192</v>
      </c>
      <c r="L17" s="26" t="str">
        <f>T(總名冊!J414)</f>
        <v>馮阮草原</v>
      </c>
      <c r="M17" s="26" t="str">
        <f>T(總名冊!I414)</f>
        <v>外交學程三</v>
      </c>
      <c r="N17" s="10"/>
      <c r="O17" s="10"/>
      <c r="P17" s="10"/>
      <c r="Q17" s="10"/>
      <c r="R17" s="10"/>
    </row>
    <row r="18" spans="1:18" ht="25" customHeight="1" thickBot="1">
      <c r="A18" s="416"/>
      <c r="B18" s="24" t="s">
        <v>207</v>
      </c>
      <c r="C18" s="29" t="str">
        <f>T(總名冊!J396)</f>
        <v>范玉艷</v>
      </c>
      <c r="D18" s="26" t="str">
        <f>T(總名冊!I396)</f>
        <v>餐旅系</v>
      </c>
      <c r="E18" s="10"/>
      <c r="F18" s="10"/>
      <c r="G18" s="10"/>
      <c r="H18" s="10"/>
      <c r="I18" s="10"/>
      <c r="J18" s="416"/>
      <c r="K18" s="24" t="s">
        <v>207</v>
      </c>
      <c r="L18" s="26" t="str">
        <f>T(總名冊!J415)</f>
        <v>李昀潔</v>
      </c>
      <c r="M18" s="26" t="str">
        <f>T(總名冊!I415)</f>
        <v>人智二乙</v>
      </c>
      <c r="N18" s="25"/>
      <c r="O18" s="25"/>
      <c r="P18" s="25"/>
      <c r="Q18" s="25"/>
      <c r="R18" s="25"/>
    </row>
    <row r="19" spans="1:18" ht="25" customHeight="1" thickBot="1">
      <c r="A19" s="414">
        <v>93</v>
      </c>
      <c r="B19" s="24" t="s">
        <v>206</v>
      </c>
      <c r="C19" s="29" t="str">
        <f>T(總名冊!J397)</f>
        <v>LE HA CHAU</v>
      </c>
      <c r="D19" s="26" t="str">
        <f>T(總名冊!I397)</f>
        <v>觀光學程三</v>
      </c>
      <c r="E19" s="10"/>
      <c r="F19" s="10"/>
      <c r="G19" s="10"/>
      <c r="H19" s="10"/>
      <c r="I19" s="10"/>
      <c r="J19" s="414">
        <v>121</v>
      </c>
      <c r="K19" s="24" t="s">
        <v>206</v>
      </c>
      <c r="L19" s="26" t="str">
        <f>T(總名冊!J416)</f>
        <v>盧昱蓁</v>
      </c>
      <c r="M19" s="26" t="str">
        <f>T(總名冊!I416)</f>
        <v>應日三甲</v>
      </c>
      <c r="N19" s="10"/>
      <c r="O19" s="10"/>
      <c r="P19" s="10"/>
      <c r="Q19" s="10"/>
      <c r="R19" s="10"/>
    </row>
    <row r="20" spans="1:18" ht="25" customHeight="1" thickBot="1">
      <c r="A20" s="415"/>
      <c r="B20" s="24" t="s">
        <v>192</v>
      </c>
      <c r="C20" s="29" t="str">
        <f>T(總名冊!J398)</f>
        <v>NGUYEN THU PHUONG</v>
      </c>
      <c r="D20" s="26" t="str">
        <f>T(總名冊!I398)</f>
        <v>觀光學程三</v>
      </c>
      <c r="E20" s="10"/>
      <c r="F20" s="10"/>
      <c r="G20" s="10"/>
      <c r="H20" s="10"/>
      <c r="I20" s="10"/>
      <c r="J20" s="415"/>
      <c r="K20" s="24" t="s">
        <v>192</v>
      </c>
      <c r="L20" s="26" t="str">
        <f>T(總名冊!J417)</f>
        <v>Pamela Ariel Matawan</v>
      </c>
      <c r="M20" s="26" t="str">
        <f>T(總名冊!I417)</f>
        <v>外交學程四</v>
      </c>
      <c r="N20" s="10"/>
      <c r="O20" s="10"/>
      <c r="P20" s="10"/>
      <c r="Q20" s="10"/>
      <c r="R20" s="10"/>
    </row>
    <row r="21" spans="1:18" ht="25" customHeight="1" thickBot="1">
      <c r="A21" s="416"/>
      <c r="B21" s="24" t="s">
        <v>207</v>
      </c>
      <c r="C21" s="29" t="str">
        <f>T(總名冊!J399)</f>
        <v>PHAM KHANH HUYEN</v>
      </c>
      <c r="D21" s="26" t="str">
        <f>T(總名冊!I399)</f>
        <v>觀光學程三</v>
      </c>
      <c r="E21" s="10"/>
      <c r="F21" s="10"/>
      <c r="G21" s="10"/>
      <c r="H21" s="10"/>
      <c r="I21" s="10"/>
      <c r="J21" s="416"/>
      <c r="K21" s="24" t="s">
        <v>207</v>
      </c>
      <c r="L21" s="26" t="str">
        <f>T(總名冊!J420)</f>
        <v>孫郁涵</v>
      </c>
      <c r="M21" s="26" t="str">
        <f>T(總名冊!I420)</f>
        <v>應日二甲</v>
      </c>
      <c r="N21" s="10"/>
      <c r="O21" s="10"/>
      <c r="P21" s="10"/>
      <c r="Q21" s="10"/>
      <c r="R21" s="10"/>
    </row>
    <row r="22" spans="1:18" ht="25" customHeight="1" thickBot="1">
      <c r="A22" s="414">
        <v>95</v>
      </c>
      <c r="B22" s="24" t="s">
        <v>206</v>
      </c>
      <c r="C22" s="29" t="e">
        <f>T(總名冊!#REF!)</f>
        <v>#REF!</v>
      </c>
      <c r="D22" s="26" t="e">
        <f>T(總名冊!#REF!)</f>
        <v>#REF!</v>
      </c>
      <c r="E22" s="10"/>
      <c r="F22" s="10"/>
      <c r="G22" s="10"/>
      <c r="H22" s="10"/>
      <c r="I22" s="10"/>
      <c r="J22" s="417">
        <v>123</v>
      </c>
      <c r="K22" s="24" t="s">
        <v>206</v>
      </c>
      <c r="L22" s="26" t="str">
        <f>T(總名冊!J421)</f>
        <v>許芸瑄</v>
      </c>
      <c r="M22" s="26" t="str">
        <f>T(總名冊!I421)</f>
        <v xml:space="preserve">品設一乙  </v>
      </c>
      <c r="N22" s="10"/>
      <c r="O22" s="10"/>
      <c r="P22" s="10"/>
      <c r="Q22" s="10"/>
      <c r="R22" s="10"/>
    </row>
    <row r="23" spans="1:18" ht="25" customHeight="1" thickBot="1">
      <c r="A23" s="415"/>
      <c r="B23" s="24" t="s">
        <v>192</v>
      </c>
      <c r="C23" s="29" t="str">
        <f>T(總名冊!J401)</f>
        <v>陳宜萱</v>
      </c>
      <c r="D23" s="26" t="str">
        <f>T(總名冊!I401)</f>
        <v>金融一甲</v>
      </c>
      <c r="E23" s="10"/>
      <c r="F23" s="10"/>
      <c r="G23" s="10"/>
      <c r="H23" s="10"/>
      <c r="I23" s="10"/>
      <c r="J23" s="417"/>
      <c r="K23" s="24" t="s">
        <v>192</v>
      </c>
      <c r="L23" s="26" t="str">
        <f>T(總名冊!J422)</f>
        <v>林依妘</v>
      </c>
      <c r="M23" s="26" t="str">
        <f>T(總名冊!I422)</f>
        <v>心理四乙</v>
      </c>
      <c r="N23" s="10"/>
      <c r="O23" s="10"/>
      <c r="P23" s="10"/>
      <c r="Q23" s="10"/>
      <c r="R23" s="10"/>
    </row>
    <row r="24" spans="1:18" ht="25" customHeight="1" thickBot="1">
      <c r="A24" s="416"/>
      <c r="B24" s="24" t="s">
        <v>207</v>
      </c>
      <c r="C24" s="29" t="str">
        <f>T(總名冊!J402)</f>
        <v>葉筱涵</v>
      </c>
      <c r="D24" s="26" t="str">
        <f>T(總名冊!I402)</f>
        <v xml:space="preserve">餐旅一乙  </v>
      </c>
      <c r="E24" s="10"/>
      <c r="F24" s="10"/>
      <c r="G24" s="10"/>
      <c r="H24" s="10"/>
      <c r="I24" s="10"/>
      <c r="J24" s="417"/>
      <c r="K24" s="24" t="s">
        <v>207</v>
      </c>
      <c r="L24" s="26" t="e">
        <f>T(總名冊!#REF!)</f>
        <v>#REF!</v>
      </c>
      <c r="M24" s="26" t="e">
        <f>T(總名冊!#REF!)</f>
        <v>#REF!</v>
      </c>
      <c r="N24" s="10"/>
      <c r="O24" s="10"/>
      <c r="P24" s="10"/>
      <c r="Q24" s="10"/>
      <c r="R24" s="10"/>
    </row>
    <row r="25" spans="1:18" ht="19" customHeight="1"/>
    <row r="26" spans="1:18" ht="19" customHeight="1"/>
    <row r="27" spans="1:18" ht="19" customHeight="1"/>
    <row r="28" spans="1:18" ht="19" customHeight="1"/>
    <row r="29" spans="1:18" ht="19" customHeight="1"/>
    <row r="30" spans="1:18" ht="19" customHeight="1"/>
    <row r="31" spans="1:18" ht="19" customHeight="1"/>
    <row r="32" spans="1:18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6" ht="4.5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</sheetData>
  <mergeCells count="23">
    <mergeCell ref="A1:R1"/>
    <mergeCell ref="A2:A3"/>
    <mergeCell ref="B2:B3"/>
    <mergeCell ref="C2:C3"/>
    <mergeCell ref="D2:D3"/>
    <mergeCell ref="J2:J3"/>
    <mergeCell ref="K2:K3"/>
    <mergeCell ref="L2:L3"/>
    <mergeCell ref="M2:M3"/>
    <mergeCell ref="A4:A6"/>
    <mergeCell ref="J4:J6"/>
    <mergeCell ref="A7:A9"/>
    <mergeCell ref="J7:J9"/>
    <mergeCell ref="A10:A12"/>
    <mergeCell ref="J10:J12"/>
    <mergeCell ref="A22:A24"/>
    <mergeCell ref="J22:J24"/>
    <mergeCell ref="A13:A15"/>
    <mergeCell ref="J13:J15"/>
    <mergeCell ref="A16:A18"/>
    <mergeCell ref="J16:J18"/>
    <mergeCell ref="A19:A21"/>
    <mergeCell ref="J19:J21"/>
  </mergeCells>
  <phoneticPr fontId="5" type="noConversion"/>
  <printOptions horizontalCentered="1" verticalCentered="1"/>
  <pageMargins left="0.11811023622047245" right="0.11811023622047245" top="0.35433070866141736" bottom="0.15748031496062992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69"/>
  <sheetViews>
    <sheetView zoomScale="70" zoomScaleNormal="70" workbookViewId="0">
      <selection activeCell="F21" sqref="F21"/>
    </sheetView>
  </sheetViews>
  <sheetFormatPr baseColWidth="10" defaultColWidth="9.19921875" defaultRowHeight="14"/>
  <cols>
    <col min="1" max="1" width="6.796875" customWidth="1"/>
    <col min="2" max="2" width="3.796875" customWidth="1"/>
    <col min="3" max="3" width="10.796875" customWidth="1"/>
    <col min="4" max="4" width="17.796875" style="18" bestFit="1" customWidth="1"/>
    <col min="5" max="9" width="8.796875" customWidth="1"/>
    <col min="10" max="10" width="6.796875" customWidth="1"/>
    <col min="11" max="11" width="3.796875" customWidth="1"/>
    <col min="12" max="12" width="10.796875" customWidth="1"/>
    <col min="13" max="13" width="17.796875" style="18" bestFit="1" customWidth="1"/>
    <col min="14" max="18" width="8.796875" customWidth="1"/>
  </cols>
  <sheetData>
    <row r="1" spans="1:18" ht="30" customHeight="1" thickBot="1">
      <c r="A1" s="421" t="s">
        <v>223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3"/>
    </row>
    <row r="2" spans="1:18" ht="25" customHeight="1" thickBot="1">
      <c r="A2" s="424" t="s">
        <v>213</v>
      </c>
      <c r="B2" s="426" t="s">
        <v>195</v>
      </c>
      <c r="C2" s="418" t="s">
        <v>201</v>
      </c>
      <c r="D2" s="418" t="s">
        <v>203</v>
      </c>
      <c r="E2" s="27" t="s">
        <v>199</v>
      </c>
      <c r="F2" s="27" t="s">
        <v>196</v>
      </c>
      <c r="G2" s="27" t="s">
        <v>197</v>
      </c>
      <c r="H2" s="27" t="s">
        <v>198</v>
      </c>
      <c r="I2" s="27" t="s">
        <v>200</v>
      </c>
      <c r="J2" s="424" t="s">
        <v>213</v>
      </c>
      <c r="K2" s="426" t="s">
        <v>195</v>
      </c>
      <c r="L2" s="418" t="s">
        <v>201</v>
      </c>
      <c r="M2" s="418" t="s">
        <v>203</v>
      </c>
      <c r="N2" s="27" t="s">
        <v>199</v>
      </c>
      <c r="O2" s="27" t="s">
        <v>196</v>
      </c>
      <c r="P2" s="27" t="s">
        <v>197</v>
      </c>
      <c r="Q2" s="27" t="s">
        <v>198</v>
      </c>
      <c r="R2" s="27" t="s">
        <v>200</v>
      </c>
    </row>
    <row r="3" spans="1:18" ht="25" customHeight="1" thickBot="1">
      <c r="A3" s="425"/>
      <c r="B3" s="427"/>
      <c r="C3" s="420"/>
      <c r="D3" s="420"/>
      <c r="E3" s="27"/>
      <c r="F3" s="27"/>
      <c r="G3" s="27"/>
      <c r="H3" s="27"/>
      <c r="I3" s="27"/>
      <c r="J3" s="425"/>
      <c r="K3" s="427"/>
      <c r="L3" s="420"/>
      <c r="M3" s="420"/>
      <c r="N3" s="27"/>
      <c r="O3" s="27"/>
      <c r="P3" s="27"/>
      <c r="Q3" s="27"/>
      <c r="R3" s="27"/>
    </row>
    <row r="4" spans="1:18" ht="25" customHeight="1" thickBot="1">
      <c r="A4" s="418">
        <v>83</v>
      </c>
      <c r="B4" s="24" t="s">
        <v>206</v>
      </c>
      <c r="C4" s="29" t="str">
        <f>T(總名冊!J424)</f>
        <v/>
      </c>
      <c r="D4" s="26" t="str">
        <f>T(總名冊!I424)</f>
        <v/>
      </c>
      <c r="E4" s="10"/>
      <c r="F4" s="10"/>
      <c r="G4" s="10"/>
      <c r="H4" s="10"/>
      <c r="I4" s="10"/>
      <c r="J4" s="414">
        <v>111</v>
      </c>
      <c r="K4" s="24" t="s">
        <v>206</v>
      </c>
      <c r="L4" s="26" t="str">
        <f>T(總名冊!J445)</f>
        <v>黃氏映陽</v>
      </c>
      <c r="M4" s="26" t="str">
        <f>T(總名冊!I445)</f>
        <v>資工系</v>
      </c>
      <c r="N4" s="10"/>
      <c r="O4" s="10"/>
      <c r="P4" s="10"/>
      <c r="Q4" s="10"/>
      <c r="R4" s="10"/>
    </row>
    <row r="5" spans="1:18" ht="25" customHeight="1" thickBot="1">
      <c r="A5" s="419"/>
      <c r="B5" s="24" t="s">
        <v>192</v>
      </c>
      <c r="C5" s="28" t="str">
        <f>T(總名冊!J425)</f>
        <v/>
      </c>
      <c r="D5" s="26" t="str">
        <f>T(總名冊!I425)</f>
        <v/>
      </c>
      <c r="E5" s="25"/>
      <c r="F5" s="25"/>
      <c r="G5" s="25"/>
      <c r="H5" s="25"/>
      <c r="I5" s="25"/>
      <c r="J5" s="415"/>
      <c r="K5" s="24" t="s">
        <v>192</v>
      </c>
      <c r="L5" s="26" t="str">
        <f>T(總名冊!J446)</f>
        <v>賴氏玄莊</v>
      </c>
      <c r="M5" s="26" t="str">
        <f>T(總名冊!I446)</f>
        <v>餐旅系</v>
      </c>
      <c r="N5" s="10"/>
      <c r="O5" s="10"/>
      <c r="P5" s="10"/>
      <c r="Q5" s="10"/>
      <c r="R5" s="10"/>
    </row>
    <row r="6" spans="1:18" ht="25" customHeight="1" thickBot="1">
      <c r="A6" s="420"/>
      <c r="B6" s="24" t="s">
        <v>207</v>
      </c>
      <c r="C6" s="29" t="str">
        <f>T(總名冊!J426)</f>
        <v/>
      </c>
      <c r="D6" s="26" t="str">
        <f>T(總名冊!I426)</f>
        <v/>
      </c>
      <c r="E6" s="10"/>
      <c r="F6" s="10"/>
      <c r="G6" s="10"/>
      <c r="H6" s="10"/>
      <c r="I6" s="10"/>
      <c r="J6" s="416"/>
      <c r="K6" s="24" t="s">
        <v>207</v>
      </c>
      <c r="L6" s="26" t="str">
        <f>T(總名冊!J447)</f>
        <v>陳嘉欣</v>
      </c>
      <c r="M6" s="26" t="str">
        <f>T(總名冊!I447)</f>
        <v>觀光系</v>
      </c>
      <c r="N6" s="10"/>
      <c r="O6" s="10"/>
      <c r="P6" s="10"/>
      <c r="Q6" s="10"/>
      <c r="R6" s="10"/>
    </row>
    <row r="7" spans="1:18" ht="25" customHeight="1" thickBot="1">
      <c r="A7" s="414">
        <v>85</v>
      </c>
      <c r="B7" s="24" t="s">
        <v>206</v>
      </c>
      <c r="C7" s="26" t="str">
        <f>T(總名冊!J427)</f>
        <v/>
      </c>
      <c r="D7" s="26" t="str">
        <f>T(總名冊!I427)</f>
        <v/>
      </c>
      <c r="E7" s="10"/>
      <c r="F7" s="10"/>
      <c r="G7" s="10"/>
      <c r="H7" s="10"/>
      <c r="I7" s="10"/>
      <c r="J7" s="414">
        <v>113</v>
      </c>
      <c r="K7" s="24" t="s">
        <v>206</v>
      </c>
      <c r="L7" s="26" t="str">
        <f>T(總名冊!J448)</f>
        <v>阮玄妝</v>
      </c>
      <c r="M7" s="26" t="str">
        <f>T(總名冊!I448)</f>
        <v>觀光系</v>
      </c>
      <c r="N7" s="10"/>
      <c r="O7" s="10"/>
      <c r="P7" s="10"/>
      <c r="Q7" s="10"/>
      <c r="R7" s="10"/>
    </row>
    <row r="8" spans="1:18" ht="25" customHeight="1" thickBot="1">
      <c r="A8" s="415"/>
      <c r="B8" s="24" t="s">
        <v>192</v>
      </c>
      <c r="C8" s="26" t="str">
        <f>T(總名冊!J428)</f>
        <v/>
      </c>
      <c r="D8" s="26" t="str">
        <f>T(總名冊!I428)</f>
        <v/>
      </c>
      <c r="E8" s="10"/>
      <c r="F8" s="10"/>
      <c r="G8" s="10"/>
      <c r="H8" s="10"/>
      <c r="I8" s="10"/>
      <c r="J8" s="415"/>
      <c r="K8" s="24" t="s">
        <v>192</v>
      </c>
      <c r="L8" s="26" t="str">
        <f>T(總名冊!J449)</f>
        <v>阮明珠</v>
      </c>
      <c r="M8" s="26" t="str">
        <f>T(總名冊!I449)</f>
        <v>餐旅系</v>
      </c>
      <c r="N8" s="10"/>
      <c r="O8" s="10"/>
      <c r="P8" s="10"/>
      <c r="Q8" s="10"/>
      <c r="R8" s="10"/>
    </row>
    <row r="9" spans="1:18" ht="25" customHeight="1" thickBot="1">
      <c r="A9" s="416"/>
      <c r="B9" s="24" t="s">
        <v>207</v>
      </c>
      <c r="C9" s="26" t="str">
        <f>T(總名冊!J429)</f>
        <v/>
      </c>
      <c r="D9" s="26" t="str">
        <f>T(總名冊!I429)</f>
        <v/>
      </c>
      <c r="E9" s="10"/>
      <c r="F9" s="10"/>
      <c r="G9" s="10"/>
      <c r="H9" s="10"/>
      <c r="I9" s="10"/>
      <c r="J9" s="416"/>
      <c r="K9" s="24" t="s">
        <v>207</v>
      </c>
      <c r="L9" s="26" t="str">
        <f>T(總名冊!J450)</f>
        <v>黃氏海燕</v>
      </c>
      <c r="M9" s="26" t="str">
        <f>T(總名冊!I450)</f>
        <v>餐旅系</v>
      </c>
      <c r="N9" s="10"/>
      <c r="O9" s="10"/>
      <c r="P9" s="10"/>
      <c r="Q9" s="10"/>
      <c r="R9" s="10"/>
    </row>
    <row r="10" spans="1:18" ht="25" customHeight="1" thickBot="1">
      <c r="A10" s="414">
        <v>87</v>
      </c>
      <c r="B10" s="24" t="s">
        <v>206</v>
      </c>
      <c r="C10" s="26" t="str">
        <f>T(總名冊!J430)</f>
        <v>阮玲書</v>
      </c>
      <c r="D10" s="26" t="str">
        <f>T(總名冊!I430)</f>
        <v>都發三乙</v>
      </c>
      <c r="E10" s="10"/>
      <c r="F10" s="10"/>
      <c r="G10" s="10"/>
      <c r="H10" s="10"/>
      <c r="I10" s="10"/>
      <c r="J10" s="414">
        <v>115</v>
      </c>
      <c r="K10" s="24" t="s">
        <v>206</v>
      </c>
      <c r="L10" s="26" t="str">
        <f>T(總名冊!J451)</f>
        <v>徐梓寧</v>
      </c>
      <c r="M10" s="26" t="str">
        <f>T(總名冊!I451)</f>
        <v xml:space="preserve">公行二甲  </v>
      </c>
      <c r="N10" s="10"/>
      <c r="O10" s="10"/>
      <c r="P10" s="10"/>
      <c r="Q10" s="10"/>
      <c r="R10" s="10"/>
    </row>
    <row r="11" spans="1:18" ht="25" customHeight="1" thickBot="1">
      <c r="A11" s="415"/>
      <c r="B11" s="24" t="s">
        <v>192</v>
      </c>
      <c r="C11" s="26" t="str">
        <f>T(總名冊!J431)</f>
        <v>梁氏蓮</v>
      </c>
      <c r="D11" s="26" t="str">
        <f>T(總名冊!I431)</f>
        <v>餐旅系</v>
      </c>
      <c r="E11" s="10"/>
      <c r="F11" s="10"/>
      <c r="G11" s="10"/>
      <c r="H11" s="10"/>
      <c r="I11" s="10"/>
      <c r="J11" s="415"/>
      <c r="K11" s="24" t="s">
        <v>192</v>
      </c>
      <c r="L11" s="26" t="str">
        <f>T(總名冊!J452)</f>
        <v>王英慈</v>
      </c>
      <c r="M11" s="26" t="str">
        <f>T(總名冊!I452)</f>
        <v>觀光二甲</v>
      </c>
      <c r="N11" s="10"/>
      <c r="O11" s="10"/>
      <c r="P11" s="10"/>
      <c r="Q11" s="10"/>
      <c r="R11" s="10"/>
    </row>
    <row r="12" spans="1:18" ht="25" customHeight="1" thickBot="1">
      <c r="A12" s="416"/>
      <c r="B12" s="24" t="s">
        <v>207</v>
      </c>
      <c r="C12" s="26" t="str">
        <f>T(總名冊!J432)</f>
        <v>趙氏如</v>
      </c>
      <c r="D12" s="26" t="str">
        <f>T(總名冊!I432)</f>
        <v>餐旅系</v>
      </c>
      <c r="E12" s="10"/>
      <c r="F12" s="10"/>
      <c r="G12" s="10"/>
      <c r="H12" s="10"/>
      <c r="I12" s="10"/>
      <c r="J12" s="416"/>
      <c r="K12" s="24" t="s">
        <v>207</v>
      </c>
      <c r="L12" s="26" t="str">
        <f>T(總名冊!J453)</f>
        <v>葉　芃</v>
      </c>
      <c r="M12" s="26" t="str">
        <f>T(總名冊!I453)</f>
        <v xml:space="preserve">品設三乙  </v>
      </c>
      <c r="N12" s="10"/>
      <c r="O12" s="10"/>
      <c r="P12" s="10"/>
      <c r="Q12" s="10"/>
      <c r="R12" s="10"/>
    </row>
    <row r="13" spans="1:18" ht="25" customHeight="1" thickBot="1">
      <c r="A13" s="414">
        <v>89</v>
      </c>
      <c r="B13" s="24" t="s">
        <v>206</v>
      </c>
      <c r="C13" s="26" t="str">
        <f>T(總名冊!J433)</f>
        <v>段氏明書</v>
      </c>
      <c r="D13" s="26" t="str">
        <f>T(總名冊!I433)</f>
        <v>餐旅系</v>
      </c>
      <c r="E13" s="10"/>
      <c r="F13" s="10"/>
      <c r="G13" s="10"/>
      <c r="H13" s="10"/>
      <c r="I13" s="10"/>
      <c r="J13" s="414">
        <v>117</v>
      </c>
      <c r="K13" s="24" t="s">
        <v>206</v>
      </c>
      <c r="L13" s="26" t="str">
        <f>T(總名冊!J454)</f>
        <v>劉秀玟</v>
      </c>
      <c r="M13" s="26" t="str">
        <f>T(總名冊!I454)</f>
        <v xml:space="preserve">人智一乙  </v>
      </c>
      <c r="N13" s="10"/>
      <c r="O13" s="10"/>
      <c r="P13" s="10"/>
      <c r="Q13" s="10"/>
      <c r="R13" s="10"/>
    </row>
    <row r="14" spans="1:18" ht="25" customHeight="1" thickBot="1">
      <c r="A14" s="415"/>
      <c r="B14" s="24" t="s">
        <v>192</v>
      </c>
      <c r="C14" s="26" t="str">
        <f>T(總名冊!J434)</f>
        <v>陳氏玄莊</v>
      </c>
      <c r="D14" s="26" t="str">
        <f>T(總名冊!I434)</f>
        <v>觀光系</v>
      </c>
      <c r="E14" s="10"/>
      <c r="F14" s="10"/>
      <c r="G14" s="10"/>
      <c r="H14" s="10"/>
      <c r="I14" s="10"/>
      <c r="J14" s="415"/>
      <c r="K14" s="24" t="s">
        <v>192</v>
      </c>
      <c r="L14" s="26" t="str">
        <f>T(總名冊!J455)</f>
        <v>范姜丹辰</v>
      </c>
      <c r="M14" s="26" t="str">
        <f>T(總名冊!I455)</f>
        <v>商設四乙</v>
      </c>
      <c r="N14" s="10"/>
      <c r="O14" s="10"/>
      <c r="P14" s="10"/>
      <c r="Q14" s="10"/>
      <c r="R14" s="10"/>
    </row>
    <row r="15" spans="1:18" ht="25" customHeight="1" thickBot="1">
      <c r="A15" s="416"/>
      <c r="B15" s="24" t="s">
        <v>207</v>
      </c>
      <c r="C15" s="26" t="str">
        <f>T(總名冊!J435)</f>
        <v>阮氏梅莊</v>
      </c>
      <c r="D15" s="26" t="str">
        <f>T(總名冊!I435)</f>
        <v>觀光系</v>
      </c>
      <c r="E15" s="10"/>
      <c r="F15" s="10"/>
      <c r="G15" s="10"/>
      <c r="H15" s="10"/>
      <c r="I15" s="10"/>
      <c r="J15" s="416"/>
      <c r="K15" s="24" t="s">
        <v>207</v>
      </c>
      <c r="L15" s="26" t="str">
        <f>T(總名冊!J456)</f>
        <v>陳明萱</v>
      </c>
      <c r="M15" s="26" t="str">
        <f>T(總名冊!I456)</f>
        <v>商設四甲</v>
      </c>
      <c r="N15" s="10"/>
      <c r="O15" s="10"/>
      <c r="P15" s="10"/>
      <c r="Q15" s="10"/>
      <c r="R15" s="10"/>
    </row>
    <row r="16" spans="1:18" ht="25" customHeight="1" thickBot="1">
      <c r="A16" s="414">
        <v>91</v>
      </c>
      <c r="B16" s="24" t="s">
        <v>206</v>
      </c>
      <c r="C16" s="26" t="str">
        <f>T(總名冊!J436)</f>
        <v>徐千詠</v>
      </c>
      <c r="D16" s="26" t="str">
        <f>T(總名冊!I436)</f>
        <v xml:space="preserve">資管二甲  </v>
      </c>
      <c r="E16" s="10"/>
      <c r="F16" s="10"/>
      <c r="G16" s="10"/>
      <c r="H16" s="10"/>
      <c r="I16" s="10"/>
      <c r="J16" s="414">
        <v>119</v>
      </c>
      <c r="K16" s="24" t="s">
        <v>206</v>
      </c>
      <c r="L16" s="26" t="str">
        <f>T(總名冊!J459)</f>
        <v>陳草蘭</v>
      </c>
      <c r="M16" s="26" t="str">
        <f>T(總名冊!I459)</f>
        <v>觀光系</v>
      </c>
      <c r="N16" s="10"/>
      <c r="O16" s="10"/>
      <c r="P16" s="10"/>
      <c r="Q16" s="10"/>
      <c r="R16" s="10"/>
    </row>
    <row r="17" spans="1:18" ht="25" customHeight="1" thickBot="1">
      <c r="A17" s="415"/>
      <c r="B17" s="24" t="s">
        <v>192</v>
      </c>
      <c r="C17" s="26" t="str">
        <f>T(總名冊!J437)</f>
        <v>李之尹</v>
      </c>
      <c r="D17" s="26" t="str">
        <f>T(總名冊!I437)</f>
        <v xml:space="preserve">生科二乙  </v>
      </c>
      <c r="E17" s="10"/>
      <c r="F17" s="10"/>
      <c r="G17" s="10"/>
      <c r="H17" s="10"/>
      <c r="I17" s="10"/>
      <c r="J17" s="415"/>
      <c r="K17" s="24" t="s">
        <v>192</v>
      </c>
      <c r="L17" s="26" t="str">
        <f>T(總名冊!J458)</f>
        <v>范氏玉簪</v>
      </c>
      <c r="M17" s="26" t="str">
        <f>T(總名冊!I458)</f>
        <v>觀光系</v>
      </c>
      <c r="N17" s="10"/>
      <c r="O17" s="10"/>
      <c r="P17" s="10"/>
      <c r="Q17" s="10"/>
      <c r="R17" s="10"/>
    </row>
    <row r="18" spans="1:18" ht="25" customHeight="1" thickBot="1">
      <c r="A18" s="416"/>
      <c r="B18" s="24" t="s">
        <v>207</v>
      </c>
      <c r="C18" s="26" t="str">
        <f>T(總名冊!J438)</f>
        <v>莊芷妮</v>
      </c>
      <c r="D18" s="26" t="str">
        <f>T(總名冊!I438)</f>
        <v xml:space="preserve">心理二乙  </v>
      </c>
      <c r="E18" s="10"/>
      <c r="F18" s="10"/>
      <c r="G18" s="10"/>
      <c r="H18" s="10"/>
      <c r="I18" s="10"/>
      <c r="J18" s="416"/>
      <c r="K18" s="24" t="s">
        <v>207</v>
      </c>
      <c r="L18" s="26" t="str">
        <f>T(總名冊!J457)</f>
        <v>阮氏翠姮</v>
      </c>
      <c r="M18" s="26" t="str">
        <f>T(總名冊!I457)</f>
        <v>觀光系</v>
      </c>
      <c r="N18" s="25"/>
      <c r="O18" s="25"/>
      <c r="P18" s="25"/>
      <c r="Q18" s="25"/>
      <c r="R18" s="25"/>
    </row>
    <row r="19" spans="1:18" ht="25" customHeight="1" thickBot="1">
      <c r="A19" s="414">
        <v>93</v>
      </c>
      <c r="B19" s="24" t="s">
        <v>206</v>
      </c>
      <c r="C19" s="26" t="str">
        <f>T(總名冊!J439)</f>
        <v>黃氏燕</v>
      </c>
      <c r="D19" s="26" t="str">
        <f>T(總名冊!I439)</f>
        <v>餐旅系</v>
      </c>
      <c r="E19" s="10"/>
      <c r="F19" s="10"/>
      <c r="G19" s="10"/>
      <c r="H19" s="10"/>
      <c r="I19" s="10"/>
      <c r="J19" s="414">
        <v>121</v>
      </c>
      <c r="K19" s="24" t="s">
        <v>206</v>
      </c>
      <c r="L19" s="26" t="str">
        <f>T(總名冊!J460)</f>
        <v>張懷玲</v>
      </c>
      <c r="M19" s="26" t="str">
        <f>T(總名冊!I460)</f>
        <v>觀光系</v>
      </c>
      <c r="N19" s="10"/>
      <c r="O19" s="10"/>
      <c r="P19" s="10"/>
      <c r="Q19" s="10"/>
      <c r="R19" s="10"/>
    </row>
    <row r="20" spans="1:18" ht="25" customHeight="1" thickBot="1">
      <c r="A20" s="415"/>
      <c r="B20" s="24" t="s">
        <v>192</v>
      </c>
      <c r="C20" s="26" t="str">
        <f>T(總名冊!J440)</f>
        <v>阮氏兒</v>
      </c>
      <c r="D20" s="26" t="str">
        <f>T(總名冊!I440)</f>
        <v>餐旅系</v>
      </c>
      <c r="E20" s="10"/>
      <c r="F20" s="10"/>
      <c r="G20" s="10"/>
      <c r="H20" s="10"/>
      <c r="I20" s="10"/>
      <c r="J20" s="415"/>
      <c r="K20" s="24" t="s">
        <v>192</v>
      </c>
      <c r="L20" s="26" t="str">
        <f>T(總名冊!J461)</f>
        <v>武氏玲</v>
      </c>
      <c r="M20" s="26" t="str">
        <f>T(總名冊!I461)</f>
        <v>餐旅系</v>
      </c>
      <c r="N20" s="10"/>
      <c r="O20" s="10"/>
      <c r="P20" s="10"/>
      <c r="Q20" s="10"/>
      <c r="R20" s="10"/>
    </row>
    <row r="21" spans="1:18" ht="25" customHeight="1" thickBot="1">
      <c r="A21" s="416"/>
      <c r="B21" s="24" t="s">
        <v>207</v>
      </c>
      <c r="C21" s="26" t="str">
        <f>T(總名冊!J441)</f>
        <v>黃燕</v>
      </c>
      <c r="D21" s="26" t="str">
        <f>T(總名冊!I441)</f>
        <v>餐旅系</v>
      </c>
      <c r="E21" s="10"/>
      <c r="F21" s="10"/>
      <c r="G21" s="10"/>
      <c r="H21" s="10"/>
      <c r="I21" s="10"/>
      <c r="J21" s="416"/>
      <c r="K21" s="24" t="s">
        <v>207</v>
      </c>
      <c r="L21" s="26" t="str">
        <f>T(總名冊!J462)</f>
        <v>黃氏海絨</v>
      </c>
      <c r="M21" s="26" t="str">
        <f>T(總名冊!I462)</f>
        <v>餐旅系</v>
      </c>
      <c r="N21" s="10"/>
      <c r="O21" s="10"/>
      <c r="P21" s="10"/>
      <c r="Q21" s="10"/>
      <c r="R21" s="10"/>
    </row>
    <row r="22" spans="1:18" ht="25" customHeight="1" thickBot="1">
      <c r="A22" s="414">
        <v>95</v>
      </c>
      <c r="B22" s="24" t="s">
        <v>206</v>
      </c>
      <c r="C22" s="26" t="str">
        <f>T(總名冊!J442)</f>
        <v>吳珈妤</v>
      </c>
      <c r="D22" s="26" t="str">
        <f>T(總名冊!I442)</f>
        <v xml:space="preserve">數媒一甲  </v>
      </c>
      <c r="E22" s="10"/>
      <c r="F22" s="10"/>
      <c r="G22" s="10"/>
      <c r="H22" s="10"/>
      <c r="I22" s="10"/>
      <c r="J22" s="417">
        <v>123</v>
      </c>
      <c r="K22" s="24" t="s">
        <v>206</v>
      </c>
      <c r="L22" s="26" t="str">
        <f>T(總名冊!J463)</f>
        <v>黎氏玉欣</v>
      </c>
      <c r="M22" s="26" t="str">
        <f>T(總名冊!I463)</f>
        <v>餐旅系</v>
      </c>
      <c r="N22" s="10"/>
      <c r="O22" s="10"/>
      <c r="P22" s="10"/>
      <c r="Q22" s="10"/>
      <c r="R22" s="10"/>
    </row>
    <row r="23" spans="1:18" ht="25" customHeight="1" thickBot="1">
      <c r="A23" s="415"/>
      <c r="B23" s="24" t="s">
        <v>192</v>
      </c>
      <c r="C23" s="26" t="str">
        <f>T(總名冊!J443)</f>
        <v>廖芷榆</v>
      </c>
      <c r="D23" s="26" t="str">
        <f>T(總名冊!I443)</f>
        <v>電機一丙</v>
      </c>
      <c r="E23" s="10"/>
      <c r="F23" s="10"/>
      <c r="G23" s="10"/>
      <c r="H23" s="10"/>
      <c r="I23" s="10"/>
      <c r="J23" s="417"/>
      <c r="K23" s="24" t="s">
        <v>192</v>
      </c>
      <c r="L23" s="26" t="str">
        <f>T(總名冊!J464)</f>
        <v>黃氏如意</v>
      </c>
      <c r="M23" s="26" t="str">
        <f>T(總名冊!I464)</f>
        <v>餐旅系</v>
      </c>
      <c r="N23" s="10"/>
      <c r="O23" s="10"/>
      <c r="P23" s="10"/>
      <c r="Q23" s="10"/>
      <c r="R23" s="10"/>
    </row>
    <row r="24" spans="1:18" ht="25" customHeight="1" thickBot="1">
      <c r="A24" s="416"/>
      <c r="B24" s="24" t="s">
        <v>207</v>
      </c>
      <c r="C24" s="26" t="str">
        <f>T(總名冊!J444)</f>
        <v>潘奕帆</v>
      </c>
      <c r="D24" s="26" t="str">
        <f>T(總名冊!I444)</f>
        <v xml:space="preserve">生科二甲  </v>
      </c>
      <c r="E24" s="10"/>
      <c r="F24" s="10"/>
      <c r="G24" s="10"/>
      <c r="H24" s="10"/>
      <c r="I24" s="10"/>
      <c r="J24" s="417"/>
      <c r="K24" s="24" t="s">
        <v>207</v>
      </c>
      <c r="L24" s="26" t="str">
        <f>T(總名冊!J465)</f>
        <v>范氏清姮</v>
      </c>
      <c r="M24" s="26" t="str">
        <f>T(總名冊!I465)</f>
        <v>餐旅系</v>
      </c>
      <c r="N24" s="10"/>
      <c r="O24" s="10"/>
      <c r="P24" s="10"/>
      <c r="Q24" s="10"/>
      <c r="R24" s="10"/>
    </row>
    <row r="25" spans="1:18" ht="19" customHeight="1"/>
    <row r="26" spans="1:18" ht="19" customHeight="1"/>
    <row r="27" spans="1:18" ht="19" customHeight="1"/>
    <row r="28" spans="1:18" ht="19" customHeight="1"/>
    <row r="29" spans="1:18" ht="19" customHeight="1"/>
    <row r="30" spans="1:18" ht="19" customHeight="1"/>
    <row r="31" spans="1:18" ht="19" customHeight="1"/>
    <row r="32" spans="1:18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6" ht="4.5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</sheetData>
  <mergeCells count="23">
    <mergeCell ref="A1:R1"/>
    <mergeCell ref="A2:A3"/>
    <mergeCell ref="B2:B3"/>
    <mergeCell ref="C2:C3"/>
    <mergeCell ref="D2:D3"/>
    <mergeCell ref="J2:J3"/>
    <mergeCell ref="K2:K3"/>
    <mergeCell ref="L2:L3"/>
    <mergeCell ref="M2:M3"/>
    <mergeCell ref="A4:A6"/>
    <mergeCell ref="J4:J6"/>
    <mergeCell ref="A7:A9"/>
    <mergeCell ref="J7:J9"/>
    <mergeCell ref="A10:A12"/>
    <mergeCell ref="J10:J12"/>
    <mergeCell ref="A22:A24"/>
    <mergeCell ref="J22:J24"/>
    <mergeCell ref="A13:A15"/>
    <mergeCell ref="J13:J15"/>
    <mergeCell ref="A16:A18"/>
    <mergeCell ref="J16:J18"/>
    <mergeCell ref="A19:A21"/>
    <mergeCell ref="J19:J21"/>
  </mergeCells>
  <phoneticPr fontId="5" type="noConversion"/>
  <printOptions horizontalCentered="1" verticalCentered="1"/>
  <pageMargins left="0.11811023622047245" right="0.11811023622047245" top="0.35433070866141736" bottom="0.15748031496062992" header="0.31496062992125984" footer="0.31496062992125984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69"/>
  <sheetViews>
    <sheetView zoomScale="70" zoomScaleNormal="70" workbookViewId="0">
      <selection activeCell="F21" sqref="F21"/>
    </sheetView>
  </sheetViews>
  <sheetFormatPr baseColWidth="10" defaultColWidth="9.19921875" defaultRowHeight="14"/>
  <cols>
    <col min="1" max="1" width="6.796875" customWidth="1"/>
    <col min="2" max="2" width="3.796875" customWidth="1"/>
    <col min="3" max="3" width="10.796875" customWidth="1"/>
    <col min="4" max="4" width="17.796875" style="18" bestFit="1" customWidth="1"/>
    <col min="5" max="9" width="8.796875" customWidth="1"/>
    <col min="10" max="10" width="6.796875" customWidth="1"/>
    <col min="11" max="11" width="3.796875" customWidth="1"/>
    <col min="12" max="12" width="10.796875" customWidth="1"/>
    <col min="13" max="13" width="17.796875" style="18" bestFit="1" customWidth="1"/>
    <col min="14" max="18" width="8.796875" customWidth="1"/>
  </cols>
  <sheetData>
    <row r="1" spans="1:18" ht="30" customHeight="1" thickBot="1">
      <c r="A1" s="421" t="s">
        <v>224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3"/>
    </row>
    <row r="2" spans="1:18" ht="25" customHeight="1" thickBot="1">
      <c r="A2" s="424" t="s">
        <v>215</v>
      </c>
      <c r="B2" s="426" t="s">
        <v>195</v>
      </c>
      <c r="C2" s="418" t="s">
        <v>201</v>
      </c>
      <c r="D2" s="418" t="s">
        <v>203</v>
      </c>
      <c r="E2" s="27" t="s">
        <v>199</v>
      </c>
      <c r="F2" s="27" t="s">
        <v>196</v>
      </c>
      <c r="G2" s="27" t="s">
        <v>197</v>
      </c>
      <c r="H2" s="27" t="s">
        <v>198</v>
      </c>
      <c r="I2" s="27" t="s">
        <v>200</v>
      </c>
      <c r="J2" s="424" t="s">
        <v>215</v>
      </c>
      <c r="K2" s="426" t="s">
        <v>195</v>
      </c>
      <c r="L2" s="418" t="s">
        <v>201</v>
      </c>
      <c r="M2" s="418" t="s">
        <v>203</v>
      </c>
      <c r="N2" s="27" t="s">
        <v>199</v>
      </c>
      <c r="O2" s="27" t="s">
        <v>196</v>
      </c>
      <c r="P2" s="27" t="s">
        <v>197</v>
      </c>
      <c r="Q2" s="27" t="s">
        <v>198</v>
      </c>
      <c r="R2" s="27" t="s">
        <v>200</v>
      </c>
    </row>
    <row r="3" spans="1:18" ht="25" customHeight="1" thickBot="1">
      <c r="A3" s="425"/>
      <c r="B3" s="427"/>
      <c r="C3" s="420"/>
      <c r="D3" s="420"/>
      <c r="E3" s="27"/>
      <c r="F3" s="27"/>
      <c r="G3" s="27"/>
      <c r="H3" s="27"/>
      <c r="I3" s="27"/>
      <c r="J3" s="425"/>
      <c r="K3" s="427"/>
      <c r="L3" s="420"/>
      <c r="M3" s="420"/>
      <c r="N3" s="27"/>
      <c r="O3" s="27"/>
      <c r="P3" s="27"/>
      <c r="Q3" s="27"/>
      <c r="R3" s="27"/>
    </row>
    <row r="4" spans="1:18" ht="25" customHeight="1" thickBot="1">
      <c r="A4" s="418">
        <v>83</v>
      </c>
      <c r="B4" s="24" t="s">
        <v>206</v>
      </c>
      <c r="C4" s="26" t="str">
        <f>T(總名冊!J466)</f>
        <v>楊雅鑫</v>
      </c>
      <c r="D4" s="26" t="str">
        <f>T(總名冊!I466)</f>
        <v>電機一丙</v>
      </c>
      <c r="E4" s="10"/>
      <c r="F4" s="10"/>
      <c r="G4" s="10"/>
      <c r="H4" s="10"/>
      <c r="I4" s="10"/>
      <c r="J4" s="414">
        <v>111</v>
      </c>
      <c r="K4" s="24" t="s">
        <v>206</v>
      </c>
      <c r="L4" s="26" t="str">
        <f>T(總名冊!J487)</f>
        <v>廖家淇</v>
      </c>
      <c r="M4" s="26" t="str">
        <f>T(總名冊!I487)</f>
        <v xml:space="preserve">醫管一乙  </v>
      </c>
      <c r="N4" s="10"/>
      <c r="O4" s="10"/>
      <c r="P4" s="10"/>
      <c r="Q4" s="10"/>
      <c r="R4" s="10"/>
    </row>
    <row r="5" spans="1:18" ht="25" customHeight="1" thickBot="1">
      <c r="A5" s="419"/>
      <c r="B5" s="24" t="s">
        <v>192</v>
      </c>
      <c r="C5" s="26" t="str">
        <f>T(總名冊!J467)</f>
        <v>林庭伃</v>
      </c>
      <c r="D5" s="26" t="str">
        <f>T(總名冊!I467)</f>
        <v xml:space="preserve">資管一丙  </v>
      </c>
      <c r="E5" s="25"/>
      <c r="F5" s="25"/>
      <c r="G5" s="25"/>
      <c r="H5" s="25"/>
      <c r="I5" s="25"/>
      <c r="J5" s="415"/>
      <c r="K5" s="24" t="s">
        <v>192</v>
      </c>
      <c r="L5" s="26" t="str">
        <f>T(總名冊!J488)</f>
        <v>簡立晴</v>
      </c>
      <c r="M5" s="26" t="str">
        <f>T(總名冊!I488)</f>
        <v>建築四甲</v>
      </c>
      <c r="N5" s="10"/>
      <c r="O5" s="10"/>
      <c r="P5" s="10"/>
      <c r="Q5" s="10"/>
      <c r="R5" s="10"/>
    </row>
    <row r="6" spans="1:18" ht="25" customHeight="1" thickBot="1">
      <c r="A6" s="420"/>
      <c r="B6" s="24" t="s">
        <v>207</v>
      </c>
      <c r="C6" s="26" t="str">
        <f>T(總名冊!J468)</f>
        <v>葉紋伶</v>
      </c>
      <c r="D6" s="26" t="str">
        <f>T(總名冊!I468)</f>
        <v xml:space="preserve">犯防一甲  </v>
      </c>
      <c r="E6" s="10"/>
      <c r="F6" s="10"/>
      <c r="G6" s="10"/>
      <c r="H6" s="10"/>
      <c r="I6" s="10"/>
      <c r="J6" s="416"/>
      <c r="K6" s="24" t="s">
        <v>207</v>
      </c>
      <c r="L6" s="26" t="str">
        <f>T(總名冊!J489)</f>
        <v>王羿涵</v>
      </c>
      <c r="M6" s="26" t="str">
        <f>T(總名冊!I489)</f>
        <v xml:space="preserve">心理一甲  </v>
      </c>
      <c r="N6" s="10"/>
      <c r="O6" s="10"/>
      <c r="P6" s="10"/>
      <c r="Q6" s="10"/>
      <c r="R6" s="10"/>
    </row>
    <row r="7" spans="1:18" ht="25" customHeight="1" thickBot="1">
      <c r="A7" s="414">
        <v>85</v>
      </c>
      <c r="B7" s="24" t="s">
        <v>206</v>
      </c>
      <c r="C7" s="26" t="str">
        <f>T(總名冊!J469)</f>
        <v>陳　婧</v>
      </c>
      <c r="D7" s="26" t="str">
        <f>T(總名冊!I469)</f>
        <v xml:space="preserve">犯防一甲  </v>
      </c>
      <c r="E7" s="10"/>
      <c r="F7" s="10"/>
      <c r="G7" s="10"/>
      <c r="H7" s="10"/>
      <c r="I7" s="10"/>
      <c r="J7" s="414">
        <v>113</v>
      </c>
      <c r="K7" s="24" t="s">
        <v>206</v>
      </c>
      <c r="L7" s="26" t="str">
        <f>T(總名冊!J490)</f>
        <v>洪彤宜</v>
      </c>
      <c r="M7" s="26" t="str">
        <f>T(總名冊!I490)</f>
        <v xml:space="preserve">數媒三乙  </v>
      </c>
      <c r="N7" s="10"/>
      <c r="O7" s="10"/>
      <c r="P7" s="10"/>
      <c r="Q7" s="10"/>
      <c r="R7" s="10"/>
    </row>
    <row r="8" spans="1:18" ht="25" customHeight="1" thickBot="1">
      <c r="A8" s="415"/>
      <c r="B8" s="24" t="s">
        <v>192</v>
      </c>
      <c r="C8" s="26" t="str">
        <f>T(總名冊!J470)</f>
        <v xml:space="preserve">陳恩萱 </v>
      </c>
      <c r="D8" s="26" t="str">
        <f>T(總名冊!I470)</f>
        <v>餐旅二甲</v>
      </c>
      <c r="E8" s="10"/>
      <c r="F8" s="10"/>
      <c r="G8" s="10"/>
      <c r="H8" s="10"/>
      <c r="I8" s="10"/>
      <c r="J8" s="415"/>
      <c r="K8" s="24" t="s">
        <v>192</v>
      </c>
      <c r="L8" s="26" t="str">
        <f>T(總名冊!J491)</f>
        <v>徐予婷</v>
      </c>
      <c r="M8" s="26" t="str">
        <f>T(總名冊!I491)</f>
        <v>觀光四甲</v>
      </c>
      <c r="N8" s="10"/>
      <c r="O8" s="10"/>
      <c r="P8" s="10"/>
      <c r="Q8" s="10"/>
      <c r="R8" s="10"/>
    </row>
    <row r="9" spans="1:18" ht="25" customHeight="1" thickBot="1">
      <c r="A9" s="416"/>
      <c r="B9" s="24" t="s">
        <v>207</v>
      </c>
      <c r="C9" s="26" t="str">
        <f>T(總名冊!J471)</f>
        <v>謝芷芸</v>
      </c>
      <c r="D9" s="26" t="str">
        <f>T(總名冊!I471)</f>
        <v>都發一甲</v>
      </c>
      <c r="E9" s="10"/>
      <c r="F9" s="10"/>
      <c r="G9" s="10"/>
      <c r="H9" s="10"/>
      <c r="I9" s="10"/>
      <c r="J9" s="416"/>
      <c r="K9" s="24" t="s">
        <v>207</v>
      </c>
      <c r="L9" s="26" t="str">
        <f>T(總名冊!J492)</f>
        <v>謝淳雅</v>
      </c>
      <c r="M9" s="26" t="str">
        <f>T(總名冊!I492)</f>
        <v>金融二甲</v>
      </c>
      <c r="N9" s="10"/>
      <c r="O9" s="10"/>
      <c r="P9" s="10"/>
      <c r="Q9" s="10"/>
      <c r="R9" s="10"/>
    </row>
    <row r="10" spans="1:18" ht="25" customHeight="1" thickBot="1">
      <c r="A10" s="414">
        <v>87</v>
      </c>
      <c r="B10" s="24" t="s">
        <v>206</v>
      </c>
      <c r="C10" s="26" t="str">
        <f>T(總名冊!J472)</f>
        <v>陳嘉誼</v>
      </c>
      <c r="D10" s="26" t="str">
        <f>T(總名冊!I472)</f>
        <v>外交學程一</v>
      </c>
      <c r="E10" s="10"/>
      <c r="F10" s="10"/>
      <c r="G10" s="10"/>
      <c r="H10" s="10"/>
      <c r="I10" s="10"/>
      <c r="J10" s="414">
        <v>115</v>
      </c>
      <c r="K10" s="24" t="s">
        <v>206</v>
      </c>
      <c r="L10" s="26" t="str">
        <f>T(總名冊!J493)</f>
        <v>劉芷妘</v>
      </c>
      <c r="M10" s="26" t="str">
        <f>T(總名冊!I493)</f>
        <v xml:space="preserve">犯防一甲  </v>
      </c>
      <c r="N10" s="10"/>
      <c r="O10" s="10"/>
      <c r="P10" s="10"/>
      <c r="Q10" s="10"/>
      <c r="R10" s="10"/>
    </row>
    <row r="11" spans="1:18" ht="25" customHeight="1" thickBot="1">
      <c r="A11" s="415"/>
      <c r="B11" s="24" t="s">
        <v>192</v>
      </c>
      <c r="C11" s="26" t="e">
        <f>T(總名冊!#REF!)</f>
        <v>#REF!</v>
      </c>
      <c r="D11" s="26" t="e">
        <f>T(總名冊!#REF!)</f>
        <v>#REF!</v>
      </c>
      <c r="E11" s="10"/>
      <c r="F11" s="10"/>
      <c r="G11" s="10"/>
      <c r="H11" s="10"/>
      <c r="I11" s="10"/>
      <c r="J11" s="415"/>
      <c r="K11" s="24" t="s">
        <v>192</v>
      </c>
      <c r="L11" s="26" t="str">
        <f>T(總名冊!J494)</f>
        <v>邱靖茹</v>
      </c>
      <c r="M11" s="26" t="str">
        <f>T(總名冊!I494)</f>
        <v xml:space="preserve">休憩一甲  </v>
      </c>
      <c r="N11" s="10"/>
      <c r="O11" s="10"/>
      <c r="P11" s="10"/>
      <c r="Q11" s="10"/>
      <c r="R11" s="10"/>
    </row>
    <row r="12" spans="1:18" ht="25" customHeight="1" thickBot="1">
      <c r="A12" s="416"/>
      <c r="B12" s="24" t="s">
        <v>207</v>
      </c>
      <c r="C12" s="26" t="str">
        <f>T(總名冊!J474)</f>
        <v>賴佳妤</v>
      </c>
      <c r="D12" s="26" t="str">
        <f>T(總名冊!I474)</f>
        <v xml:space="preserve">公行一甲  </v>
      </c>
      <c r="E12" s="10"/>
      <c r="F12" s="10"/>
      <c r="G12" s="10"/>
      <c r="H12" s="10"/>
      <c r="I12" s="10"/>
      <c r="J12" s="416"/>
      <c r="K12" s="24" t="s">
        <v>207</v>
      </c>
      <c r="L12" s="26" t="str">
        <f>T(總名冊!J495)</f>
        <v>曾子芳</v>
      </c>
      <c r="M12" s="26" t="str">
        <f>T(總名冊!I495)</f>
        <v xml:space="preserve">品設一乙  </v>
      </c>
      <c r="N12" s="10"/>
      <c r="O12" s="10"/>
      <c r="P12" s="10"/>
      <c r="Q12" s="10"/>
      <c r="R12" s="10"/>
    </row>
    <row r="13" spans="1:18" ht="25" customHeight="1" thickBot="1">
      <c r="A13" s="414">
        <v>89</v>
      </c>
      <c r="B13" s="24" t="s">
        <v>206</v>
      </c>
      <c r="C13" s="26" t="str">
        <f>T(總名冊!J475)</f>
        <v>吳岳音</v>
      </c>
      <c r="D13" s="26" t="str">
        <f>T(總名冊!I475)</f>
        <v>數媒三甲</v>
      </c>
      <c r="E13" s="10"/>
      <c r="F13" s="10"/>
      <c r="G13" s="10"/>
      <c r="H13" s="10"/>
      <c r="I13" s="10"/>
      <c r="J13" s="414">
        <v>117</v>
      </c>
      <c r="K13" s="24" t="s">
        <v>206</v>
      </c>
      <c r="L13" s="26" t="str">
        <f>T(總名冊!J496)</f>
        <v>許昱涵</v>
      </c>
      <c r="M13" s="26" t="str">
        <f>T(總名冊!I496)</f>
        <v>金融二甲</v>
      </c>
      <c r="N13" s="10"/>
      <c r="O13" s="10"/>
      <c r="P13" s="10"/>
      <c r="Q13" s="10"/>
      <c r="R13" s="10"/>
    </row>
    <row r="14" spans="1:18" ht="25" customHeight="1" thickBot="1">
      <c r="A14" s="415"/>
      <c r="B14" s="24" t="s">
        <v>192</v>
      </c>
      <c r="C14" s="26" t="str">
        <f>T(總名冊!J476)</f>
        <v>張芷熏</v>
      </c>
      <c r="D14" s="26" t="str">
        <f>T(總名冊!I476)</f>
        <v>數媒三甲</v>
      </c>
      <c r="E14" s="10"/>
      <c r="F14" s="10"/>
      <c r="G14" s="10"/>
      <c r="H14" s="10"/>
      <c r="I14" s="10"/>
      <c r="J14" s="415"/>
      <c r="K14" s="24" t="s">
        <v>192</v>
      </c>
      <c r="L14" s="26" t="str">
        <f>T(總名冊!J497)</f>
        <v>葉宣妤</v>
      </c>
      <c r="M14" s="26" t="str">
        <f>T(總名冊!I497)</f>
        <v>電機三乙</v>
      </c>
      <c r="N14" s="10"/>
      <c r="O14" s="10"/>
      <c r="P14" s="10"/>
      <c r="Q14" s="10"/>
      <c r="R14" s="10"/>
    </row>
    <row r="15" spans="1:18" ht="25" customHeight="1" thickBot="1">
      <c r="A15" s="416"/>
      <c r="B15" s="24" t="s">
        <v>207</v>
      </c>
      <c r="C15" s="26" t="str">
        <f>T(總名冊!J477)</f>
        <v>邱梓芸</v>
      </c>
      <c r="D15" s="26" t="str">
        <f>T(總名冊!I477)</f>
        <v>數媒三甲</v>
      </c>
      <c r="E15" s="10"/>
      <c r="F15" s="10"/>
      <c r="G15" s="10"/>
      <c r="H15" s="10"/>
      <c r="I15" s="10"/>
      <c r="J15" s="416"/>
      <c r="K15" s="24" t="s">
        <v>207</v>
      </c>
      <c r="L15" s="26" t="str">
        <f>T(總名冊!J400)</f>
        <v>丁燕玲</v>
      </c>
      <c r="M15" s="26" t="str">
        <f>T(總名冊!I400)</f>
        <v>生科二丙</v>
      </c>
      <c r="N15" s="10"/>
      <c r="O15" s="10"/>
      <c r="P15" s="10"/>
      <c r="Q15" s="10"/>
      <c r="R15" s="10"/>
    </row>
    <row r="16" spans="1:18" ht="25" customHeight="1" thickBot="1">
      <c r="A16" s="414">
        <v>91</v>
      </c>
      <c r="B16" s="24" t="s">
        <v>206</v>
      </c>
      <c r="C16" s="29" t="str">
        <f>T(總名冊!J478)</f>
        <v>謝孟琪</v>
      </c>
      <c r="D16" s="26" t="str">
        <f>T(總名冊!I478)</f>
        <v>心理一甲</v>
      </c>
      <c r="E16" s="10"/>
      <c r="F16" s="10"/>
      <c r="G16" s="10"/>
      <c r="H16" s="10"/>
      <c r="I16" s="10"/>
      <c r="J16" s="414">
        <v>119</v>
      </c>
      <c r="K16" s="24" t="s">
        <v>206</v>
      </c>
      <c r="L16" s="26" t="str">
        <f>T(總名冊!J503)</f>
        <v>趙晨妤</v>
      </c>
      <c r="M16" s="26" t="str">
        <f>T(總名冊!I503)</f>
        <v xml:space="preserve">醫工一甲  </v>
      </c>
      <c r="N16" s="10"/>
      <c r="O16" s="10"/>
      <c r="P16" s="10"/>
      <c r="Q16" s="10"/>
      <c r="R16" s="10"/>
    </row>
    <row r="17" spans="1:18" ht="25" customHeight="1" thickBot="1">
      <c r="A17" s="415"/>
      <c r="B17" s="24" t="s">
        <v>192</v>
      </c>
      <c r="C17" s="29" t="str">
        <f>T(總名冊!J423)</f>
        <v>魏伊羚</v>
      </c>
      <c r="D17" s="26" t="str">
        <f>T(總名冊!I423)</f>
        <v>資工一甲</v>
      </c>
      <c r="E17" s="10"/>
      <c r="F17" s="10"/>
      <c r="G17" s="10"/>
      <c r="H17" s="10"/>
      <c r="I17" s="10"/>
      <c r="J17" s="415"/>
      <c r="K17" s="24" t="s">
        <v>192</v>
      </c>
      <c r="L17" s="26" t="str">
        <f>T(總名冊!J500)</f>
        <v>謝渝淇</v>
      </c>
      <c r="M17" s="26" t="str">
        <f>T(總名冊!I500)</f>
        <v xml:space="preserve">資工一甲  </v>
      </c>
      <c r="N17" s="10"/>
      <c r="O17" s="10"/>
      <c r="P17" s="10"/>
      <c r="Q17" s="10"/>
      <c r="R17" s="10"/>
    </row>
    <row r="18" spans="1:18" ht="25" customHeight="1" thickBot="1">
      <c r="A18" s="416"/>
      <c r="B18" s="24" t="s">
        <v>207</v>
      </c>
      <c r="C18" s="29" t="str">
        <f>T(總名冊!J480)</f>
        <v>洪瑋赯</v>
      </c>
      <c r="D18" s="26" t="str">
        <f>T(總名冊!I480)</f>
        <v>應日三甲</v>
      </c>
      <c r="E18" s="10"/>
      <c r="F18" s="10"/>
      <c r="G18" s="10"/>
      <c r="H18" s="10"/>
      <c r="I18" s="10"/>
      <c r="J18" s="416"/>
      <c r="K18" s="24" t="s">
        <v>207</v>
      </c>
      <c r="L18" s="26" t="str">
        <f>T(總名冊!J501)</f>
        <v>羅元婍</v>
      </c>
      <c r="M18" s="26" t="str">
        <f>T(總名冊!I501)</f>
        <v xml:space="preserve">品設一乙  </v>
      </c>
      <c r="N18" s="25"/>
      <c r="O18" s="25"/>
      <c r="P18" s="25"/>
      <c r="Q18" s="25"/>
      <c r="R18" s="25"/>
    </row>
    <row r="19" spans="1:18" ht="25" customHeight="1" thickBot="1">
      <c r="A19" s="414">
        <v>93</v>
      </c>
      <c r="B19" s="24" t="s">
        <v>206</v>
      </c>
      <c r="C19" s="29" t="str">
        <f>T(總名冊!J481)</f>
        <v>許百惠</v>
      </c>
      <c r="D19" s="26" t="str">
        <f>T(總名冊!I481)</f>
        <v>心理四乙</v>
      </c>
      <c r="E19" s="10"/>
      <c r="F19" s="10"/>
      <c r="G19" s="10"/>
      <c r="H19" s="10"/>
      <c r="I19" s="10"/>
      <c r="J19" s="414">
        <v>121</v>
      </c>
      <c r="K19" s="24" t="s">
        <v>206</v>
      </c>
      <c r="L19" s="29" t="str">
        <f>T(總名冊!J502)</f>
        <v>蔡沁予</v>
      </c>
      <c r="M19" s="26" t="str">
        <f>T(總名冊!I502)</f>
        <v xml:space="preserve">生科一甲  </v>
      </c>
      <c r="N19" s="10"/>
      <c r="O19" s="10"/>
      <c r="P19" s="10"/>
      <c r="Q19" s="10"/>
      <c r="R19" s="10"/>
    </row>
    <row r="20" spans="1:18" ht="25" customHeight="1" thickBot="1">
      <c r="A20" s="415"/>
      <c r="B20" s="24" t="s">
        <v>192</v>
      </c>
      <c r="C20" s="29" t="str">
        <f>T(總名冊!J482)</f>
        <v>陳思澐</v>
      </c>
      <c r="D20" s="26" t="str">
        <f>T(總名冊!I482)</f>
        <v xml:space="preserve">電機四甲  </v>
      </c>
      <c r="E20" s="10"/>
      <c r="F20" s="10"/>
      <c r="G20" s="10"/>
      <c r="H20" s="10"/>
      <c r="I20" s="10"/>
      <c r="J20" s="415"/>
      <c r="K20" s="24" t="s">
        <v>192</v>
      </c>
      <c r="L20" s="29" t="e">
        <f>T(總名冊!#REF!)</f>
        <v>#REF!</v>
      </c>
      <c r="M20" s="26" t="e">
        <f>T(總名冊!#REF!)</f>
        <v>#REF!</v>
      </c>
      <c r="N20" s="10"/>
      <c r="O20" s="10"/>
      <c r="P20" s="10"/>
      <c r="Q20" s="10"/>
      <c r="R20" s="10"/>
    </row>
    <row r="21" spans="1:18" ht="25" customHeight="1" thickBot="1">
      <c r="A21" s="416"/>
      <c r="B21" s="24" t="s">
        <v>207</v>
      </c>
      <c r="C21" s="29" t="str">
        <f>T(總名冊!J483)</f>
        <v>曾衣琁</v>
      </c>
      <c r="D21" s="26" t="str">
        <f>T(總名冊!I483)</f>
        <v xml:space="preserve">商設四甲  </v>
      </c>
      <c r="E21" s="10"/>
      <c r="F21" s="10"/>
      <c r="G21" s="10"/>
      <c r="H21" s="10"/>
      <c r="I21" s="10"/>
      <c r="J21" s="416"/>
      <c r="K21" s="24" t="s">
        <v>207</v>
      </c>
      <c r="L21" s="29" t="str">
        <f>T(總名冊!J504)</f>
        <v>鄭嫄薺</v>
      </c>
      <c r="M21" s="26" t="str">
        <f>T(總名冊!I504)</f>
        <v xml:space="preserve">人智四甲  </v>
      </c>
      <c r="N21" s="10"/>
      <c r="O21" s="10"/>
      <c r="P21" s="10"/>
      <c r="Q21" s="10"/>
      <c r="R21" s="10"/>
    </row>
    <row r="22" spans="1:18" ht="25" customHeight="1" thickBot="1">
      <c r="A22" s="414">
        <v>95</v>
      </c>
      <c r="B22" s="24" t="s">
        <v>206</v>
      </c>
      <c r="C22" s="29" t="str">
        <f>T(總名冊!J484)</f>
        <v>顧善美</v>
      </c>
      <c r="D22" s="26" t="str">
        <f>T(總名冊!I484)</f>
        <v>資工三甲</v>
      </c>
      <c r="E22" s="10"/>
      <c r="F22" s="10"/>
      <c r="G22" s="10"/>
      <c r="H22" s="10"/>
      <c r="I22" s="10"/>
      <c r="J22" s="417">
        <v>123</v>
      </c>
      <c r="K22" s="24" t="s">
        <v>206</v>
      </c>
      <c r="L22" s="29" t="e">
        <f>T(總名冊!#REF!)</f>
        <v>#REF!</v>
      </c>
      <c r="M22" s="26" t="e">
        <f>T(總名冊!#REF!)</f>
        <v>#REF!</v>
      </c>
      <c r="N22" s="10"/>
      <c r="O22" s="10"/>
      <c r="P22" s="10"/>
      <c r="Q22" s="10"/>
      <c r="R22" s="10"/>
    </row>
    <row r="23" spans="1:18" ht="25" customHeight="1" thickBot="1">
      <c r="A23" s="415"/>
      <c r="B23" s="24" t="s">
        <v>192</v>
      </c>
      <c r="C23" s="29" t="str">
        <f>T(總名冊!J485)</f>
        <v>賴姿妤</v>
      </c>
      <c r="D23" s="26" t="str">
        <f>T(總名冊!I485)</f>
        <v>商設三甲</v>
      </c>
      <c r="E23" s="10"/>
      <c r="F23" s="10"/>
      <c r="G23" s="10"/>
      <c r="H23" s="10"/>
      <c r="I23" s="10"/>
      <c r="J23" s="417"/>
      <c r="K23" s="24" t="s">
        <v>192</v>
      </c>
      <c r="L23" s="29" t="e">
        <f>T(總名冊!#REF!)</f>
        <v>#REF!</v>
      </c>
      <c r="M23" s="26" t="e">
        <f>T(總名冊!#REF!)</f>
        <v>#REF!</v>
      </c>
      <c r="N23" s="10"/>
      <c r="O23" s="10"/>
      <c r="P23" s="10"/>
      <c r="Q23" s="10"/>
      <c r="R23" s="10"/>
    </row>
    <row r="24" spans="1:18" ht="25" customHeight="1" thickBot="1">
      <c r="A24" s="416"/>
      <c r="B24" s="24" t="s">
        <v>207</v>
      </c>
      <c r="C24" s="29" t="str">
        <f>T(總名冊!J486)</f>
        <v>吳旻恩</v>
      </c>
      <c r="D24" s="26" t="str">
        <f>T(總名冊!I486)</f>
        <v>觀光四甲</v>
      </c>
      <c r="E24" s="10"/>
      <c r="F24" s="10"/>
      <c r="G24" s="10"/>
      <c r="H24" s="10"/>
      <c r="I24" s="10"/>
      <c r="J24" s="417"/>
      <c r="K24" s="24" t="s">
        <v>207</v>
      </c>
      <c r="L24" s="29" t="str">
        <f>T(總名冊!J505)</f>
        <v>楊旻芯</v>
      </c>
      <c r="M24" s="26" t="str">
        <f>T(總名冊!I505)</f>
        <v>資管三乙</v>
      </c>
      <c r="N24" s="10"/>
      <c r="O24" s="10"/>
      <c r="P24" s="10"/>
      <c r="Q24" s="10"/>
      <c r="R24" s="10"/>
    </row>
    <row r="25" spans="1:18" ht="19" customHeight="1"/>
    <row r="26" spans="1:18" ht="19" customHeight="1"/>
    <row r="27" spans="1:18" ht="19" customHeight="1"/>
    <row r="28" spans="1:18" ht="19" customHeight="1"/>
    <row r="29" spans="1:18" ht="19" customHeight="1"/>
    <row r="30" spans="1:18" ht="19" customHeight="1"/>
    <row r="31" spans="1:18" ht="19" customHeight="1"/>
    <row r="32" spans="1:18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6" ht="4.5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</sheetData>
  <mergeCells count="23">
    <mergeCell ref="A1:R1"/>
    <mergeCell ref="A2:A3"/>
    <mergeCell ref="B2:B3"/>
    <mergeCell ref="C2:C3"/>
    <mergeCell ref="D2:D3"/>
    <mergeCell ref="J2:J3"/>
    <mergeCell ref="K2:K3"/>
    <mergeCell ref="L2:L3"/>
    <mergeCell ref="M2:M3"/>
    <mergeCell ref="A4:A6"/>
    <mergeCell ref="J4:J6"/>
    <mergeCell ref="A7:A9"/>
    <mergeCell ref="J7:J9"/>
    <mergeCell ref="A10:A12"/>
    <mergeCell ref="J10:J12"/>
    <mergeCell ref="A22:A24"/>
    <mergeCell ref="J22:J24"/>
    <mergeCell ref="A13:A15"/>
    <mergeCell ref="J13:J15"/>
    <mergeCell ref="A16:A18"/>
    <mergeCell ref="J16:J18"/>
    <mergeCell ref="A19:A21"/>
    <mergeCell ref="J19:J21"/>
  </mergeCells>
  <phoneticPr fontId="5" type="noConversion"/>
  <printOptions horizontalCentered="1" verticalCentered="1"/>
  <pageMargins left="0.11811023622047245" right="0.11811023622047245" top="0.35433070866141736" bottom="0.15748031496062992" header="0.31496062992125984" footer="0.31496062992125984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69"/>
  <sheetViews>
    <sheetView zoomScale="70" zoomScaleNormal="70" workbookViewId="0">
      <selection activeCell="F21" sqref="F21"/>
    </sheetView>
  </sheetViews>
  <sheetFormatPr baseColWidth="10" defaultColWidth="9.19921875" defaultRowHeight="14"/>
  <cols>
    <col min="1" max="1" width="6.796875" customWidth="1"/>
    <col min="2" max="2" width="3.796875" customWidth="1"/>
    <col min="3" max="3" width="10.796875" customWidth="1"/>
    <col min="4" max="4" width="17.796875" style="18" bestFit="1" customWidth="1"/>
    <col min="5" max="9" width="8.796875" customWidth="1"/>
    <col min="10" max="10" width="6.796875" customWidth="1"/>
    <col min="11" max="11" width="3.796875" customWidth="1"/>
    <col min="12" max="12" width="10.796875" customWidth="1"/>
    <col min="13" max="13" width="17.796875" style="18" bestFit="1" customWidth="1"/>
    <col min="14" max="18" width="8.796875" customWidth="1"/>
  </cols>
  <sheetData>
    <row r="1" spans="1:18" ht="30" customHeight="1" thickBot="1">
      <c r="A1" s="421" t="s">
        <v>225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3"/>
    </row>
    <row r="2" spans="1:18" ht="25" customHeight="1" thickBot="1">
      <c r="A2" s="424" t="s">
        <v>215</v>
      </c>
      <c r="B2" s="426" t="s">
        <v>195</v>
      </c>
      <c r="C2" s="418" t="s">
        <v>201</v>
      </c>
      <c r="D2" s="418" t="s">
        <v>203</v>
      </c>
      <c r="E2" s="27" t="s">
        <v>199</v>
      </c>
      <c r="F2" s="27" t="s">
        <v>196</v>
      </c>
      <c r="G2" s="27" t="s">
        <v>197</v>
      </c>
      <c r="H2" s="27" t="s">
        <v>198</v>
      </c>
      <c r="I2" s="27" t="s">
        <v>200</v>
      </c>
      <c r="J2" s="424" t="s">
        <v>215</v>
      </c>
      <c r="K2" s="426" t="s">
        <v>195</v>
      </c>
      <c r="L2" s="418" t="s">
        <v>201</v>
      </c>
      <c r="M2" s="418" t="s">
        <v>203</v>
      </c>
      <c r="N2" s="27" t="s">
        <v>199</v>
      </c>
      <c r="O2" s="27" t="s">
        <v>196</v>
      </c>
      <c r="P2" s="27" t="s">
        <v>197</v>
      </c>
      <c r="Q2" s="27" t="s">
        <v>198</v>
      </c>
      <c r="R2" s="27" t="s">
        <v>200</v>
      </c>
    </row>
    <row r="3" spans="1:18" ht="25" customHeight="1" thickBot="1">
      <c r="A3" s="425"/>
      <c r="B3" s="427"/>
      <c r="C3" s="420"/>
      <c r="D3" s="420"/>
      <c r="E3" s="27"/>
      <c r="F3" s="27"/>
      <c r="G3" s="27"/>
      <c r="H3" s="27"/>
      <c r="I3" s="27"/>
      <c r="J3" s="425"/>
      <c r="K3" s="427"/>
      <c r="L3" s="420"/>
      <c r="M3" s="420"/>
      <c r="N3" s="27"/>
      <c r="O3" s="27"/>
      <c r="P3" s="27"/>
      <c r="Q3" s="27"/>
      <c r="R3" s="27"/>
    </row>
    <row r="4" spans="1:18" ht="25" customHeight="1" thickBot="1">
      <c r="A4" s="418">
        <v>83</v>
      </c>
      <c r="B4" s="24" t="s">
        <v>206</v>
      </c>
      <c r="C4" s="29" t="str">
        <f>T(總名冊!J506)</f>
        <v>葉羿彣</v>
      </c>
      <c r="D4" s="29" t="str">
        <f>T(總名冊!I506)</f>
        <v>應日二甲</v>
      </c>
      <c r="E4" s="25"/>
      <c r="F4" s="25"/>
      <c r="G4" s="25"/>
      <c r="H4" s="25"/>
      <c r="I4" s="25"/>
      <c r="J4" s="414">
        <v>111</v>
      </c>
      <c r="K4" s="24" t="s">
        <v>206</v>
      </c>
      <c r="L4" s="29" t="e">
        <f>T(總名冊!#REF!)</f>
        <v>#REF!</v>
      </c>
      <c r="M4" s="29" t="e">
        <f>T(總名冊!#REF!)</f>
        <v>#REF!</v>
      </c>
      <c r="N4" s="25"/>
      <c r="O4" s="25"/>
      <c r="P4" s="25"/>
      <c r="Q4" s="25"/>
      <c r="R4" s="25"/>
    </row>
    <row r="5" spans="1:18" ht="25" customHeight="1" thickBot="1">
      <c r="A5" s="419"/>
      <c r="B5" s="24" t="s">
        <v>192</v>
      </c>
      <c r="C5" s="29" t="str">
        <f>T(總名冊!J507)</f>
        <v>陳彥菱</v>
      </c>
      <c r="D5" s="29" t="str">
        <f>T(總名冊!I507)</f>
        <v>應日二甲</v>
      </c>
      <c r="E5" s="25"/>
      <c r="F5" s="25"/>
      <c r="G5" s="25"/>
      <c r="H5" s="25"/>
      <c r="I5" s="25"/>
      <c r="J5" s="415"/>
      <c r="K5" s="24" t="s">
        <v>192</v>
      </c>
      <c r="L5" s="29" t="e">
        <f>T(總名冊!#REF!)</f>
        <v>#REF!</v>
      </c>
      <c r="M5" s="29" t="e">
        <f>T(總名冊!#REF!)</f>
        <v>#REF!</v>
      </c>
      <c r="N5" s="25"/>
      <c r="O5" s="25"/>
      <c r="P5" s="25"/>
      <c r="Q5" s="25"/>
      <c r="R5" s="25"/>
    </row>
    <row r="6" spans="1:18" ht="25" customHeight="1" thickBot="1">
      <c r="A6" s="420"/>
      <c r="B6" s="24" t="s">
        <v>207</v>
      </c>
      <c r="C6" s="29" t="str">
        <f>T(總名冊!J508)</f>
        <v/>
      </c>
      <c r="D6" s="29" t="str">
        <f>T(總名冊!I508)</f>
        <v/>
      </c>
      <c r="E6" s="25"/>
      <c r="F6" s="25"/>
      <c r="G6" s="25"/>
      <c r="H6" s="25"/>
      <c r="I6" s="25"/>
      <c r="J6" s="416"/>
      <c r="K6" s="24" t="s">
        <v>207</v>
      </c>
      <c r="L6" s="29" t="str">
        <f>T(總名冊!J529)</f>
        <v/>
      </c>
      <c r="M6" s="29" t="str">
        <f>T(總名冊!I529)</f>
        <v/>
      </c>
      <c r="N6" s="25"/>
      <c r="O6" s="25"/>
      <c r="P6" s="25"/>
      <c r="Q6" s="25"/>
      <c r="R6" s="25"/>
    </row>
    <row r="7" spans="1:18" ht="25" customHeight="1" thickBot="1">
      <c r="A7" s="414">
        <v>85</v>
      </c>
      <c r="B7" s="24" t="s">
        <v>206</v>
      </c>
      <c r="C7" s="29" t="str">
        <f>T(總名冊!J509)</f>
        <v/>
      </c>
      <c r="D7" s="26" t="str">
        <f>T(總名冊!I509)</f>
        <v/>
      </c>
      <c r="E7" s="10"/>
      <c r="F7" s="10"/>
      <c r="G7" s="10"/>
      <c r="H7" s="10"/>
      <c r="I7" s="10"/>
      <c r="J7" s="414">
        <v>113</v>
      </c>
      <c r="K7" s="24" t="s">
        <v>206</v>
      </c>
      <c r="L7" s="29" t="str">
        <f>T(總名冊!J530)</f>
        <v/>
      </c>
      <c r="M7" s="26" t="str">
        <f>T(總名冊!I530)</f>
        <v/>
      </c>
      <c r="N7" s="10"/>
      <c r="O7" s="10"/>
      <c r="P7" s="10"/>
      <c r="Q7" s="10"/>
      <c r="R7" s="10"/>
    </row>
    <row r="8" spans="1:18" ht="25" customHeight="1" thickBot="1">
      <c r="A8" s="415"/>
      <c r="B8" s="24" t="s">
        <v>192</v>
      </c>
      <c r="C8" s="29" t="str">
        <f>T(總名冊!J510)</f>
        <v/>
      </c>
      <c r="D8" s="26" t="str">
        <f>T(總名冊!I510)</f>
        <v/>
      </c>
      <c r="E8" s="10"/>
      <c r="F8" s="10"/>
      <c r="G8" s="10"/>
      <c r="H8" s="10"/>
      <c r="I8" s="10"/>
      <c r="J8" s="415"/>
      <c r="K8" s="24" t="s">
        <v>192</v>
      </c>
      <c r="L8" s="29" t="e">
        <f>T(總名冊!#REF!)</f>
        <v>#REF!</v>
      </c>
      <c r="M8" s="26" t="e">
        <f>T(總名冊!#REF!)</f>
        <v>#REF!</v>
      </c>
      <c r="N8" s="10"/>
      <c r="O8" s="10"/>
      <c r="P8" s="10"/>
      <c r="Q8" s="10"/>
      <c r="R8" s="10"/>
    </row>
    <row r="9" spans="1:18" ht="25" customHeight="1" thickBot="1">
      <c r="A9" s="416"/>
      <c r="B9" s="24" t="s">
        <v>207</v>
      </c>
      <c r="C9" s="29" t="str">
        <f>T(總名冊!J511)</f>
        <v>方怡媃</v>
      </c>
      <c r="D9" s="26" t="str">
        <f>T(總名冊!I511)</f>
        <v xml:space="preserve">商設一甲  </v>
      </c>
      <c r="E9" s="10"/>
      <c r="F9" s="10"/>
      <c r="G9" s="10"/>
      <c r="H9" s="10"/>
      <c r="I9" s="10"/>
      <c r="J9" s="416"/>
      <c r="K9" s="24" t="s">
        <v>207</v>
      </c>
      <c r="L9" s="29" t="str">
        <f>T(總名冊!J527)</f>
        <v>劉珮慈</v>
      </c>
      <c r="M9" s="26" t="str">
        <f>T(總名冊!I527)</f>
        <v>心理四甲</v>
      </c>
      <c r="N9" s="10"/>
      <c r="O9" s="10"/>
      <c r="P9" s="10"/>
      <c r="Q9" s="10"/>
      <c r="R9" s="10"/>
    </row>
    <row r="10" spans="1:18" ht="25" customHeight="1" thickBot="1">
      <c r="A10" s="414">
        <v>87</v>
      </c>
      <c r="B10" s="24" t="s">
        <v>206</v>
      </c>
      <c r="C10" s="29" t="str">
        <f>T(總名冊!J512)</f>
        <v>邱于甄</v>
      </c>
      <c r="D10" s="26" t="str">
        <f>T(總名冊!I512)</f>
        <v xml:space="preserve">醫工一甲  </v>
      </c>
      <c r="E10" s="10"/>
      <c r="F10" s="10"/>
      <c r="G10" s="10"/>
      <c r="H10" s="10"/>
      <c r="I10" s="10"/>
      <c r="J10" s="414">
        <v>115</v>
      </c>
      <c r="K10" s="24" t="s">
        <v>206</v>
      </c>
      <c r="L10" s="29" t="str">
        <f>T(總名冊!J533)</f>
        <v>孫傑臻</v>
      </c>
      <c r="M10" s="26" t="str">
        <f>T(總名冊!I533)</f>
        <v>文華一甲</v>
      </c>
      <c r="N10" s="10"/>
      <c r="O10" s="10"/>
      <c r="P10" s="10"/>
      <c r="Q10" s="10"/>
      <c r="R10" s="10"/>
    </row>
    <row r="11" spans="1:18" ht="25" customHeight="1" thickBot="1">
      <c r="A11" s="415"/>
      <c r="B11" s="24" t="s">
        <v>192</v>
      </c>
      <c r="C11" s="29" t="str">
        <f>T(總名冊!J513)</f>
        <v>杜淓穎</v>
      </c>
      <c r="D11" s="26" t="str">
        <f>T(總名冊!I513)</f>
        <v xml:space="preserve">商設一乙  </v>
      </c>
      <c r="E11" s="10"/>
      <c r="F11" s="10"/>
      <c r="G11" s="10"/>
      <c r="H11" s="10"/>
      <c r="I11" s="10"/>
      <c r="J11" s="415"/>
      <c r="K11" s="24" t="s">
        <v>192</v>
      </c>
      <c r="L11" s="29" t="str">
        <f>T(總名冊!J534)</f>
        <v>江書侑</v>
      </c>
      <c r="M11" s="26" t="str">
        <f>T(總名冊!I534)</f>
        <v xml:space="preserve">品設一甲  </v>
      </c>
      <c r="N11" s="10"/>
      <c r="O11" s="10"/>
      <c r="P11" s="10"/>
      <c r="Q11" s="10"/>
      <c r="R11" s="10"/>
    </row>
    <row r="12" spans="1:18" ht="25" customHeight="1" thickBot="1">
      <c r="A12" s="416"/>
      <c r="B12" s="24" t="s">
        <v>207</v>
      </c>
      <c r="C12" s="29" t="str">
        <f>T(總名冊!J521)</f>
        <v>陳依綺</v>
      </c>
      <c r="D12" s="26" t="str">
        <f>T(總名冊!I521)</f>
        <v>資管三甲</v>
      </c>
      <c r="E12" s="10"/>
      <c r="F12" s="10"/>
      <c r="G12" s="10"/>
      <c r="H12" s="10"/>
      <c r="I12" s="10"/>
      <c r="J12" s="416"/>
      <c r="K12" s="24" t="s">
        <v>207</v>
      </c>
      <c r="L12" s="29" t="str">
        <f>T(總名冊!J535)</f>
        <v>鄭維庭</v>
      </c>
      <c r="M12" s="26" t="str">
        <f>T(總名冊!I535)</f>
        <v>商設三乙</v>
      </c>
      <c r="N12" s="10"/>
      <c r="O12" s="10"/>
      <c r="P12" s="10"/>
      <c r="Q12" s="10"/>
      <c r="R12" s="10"/>
    </row>
    <row r="13" spans="1:18" ht="25" customHeight="1" thickBot="1">
      <c r="A13" s="414">
        <v>89</v>
      </c>
      <c r="B13" s="24" t="s">
        <v>206</v>
      </c>
      <c r="C13" s="29" t="str">
        <f>T(總名冊!J515)</f>
        <v>吳依恩</v>
      </c>
      <c r="D13" s="26" t="str">
        <f>T(總名冊!I515)</f>
        <v>餐旅二甲</v>
      </c>
      <c r="E13" s="10"/>
      <c r="F13" s="10"/>
      <c r="G13" s="10"/>
      <c r="H13" s="10"/>
      <c r="I13" s="10"/>
      <c r="J13" s="414">
        <v>117</v>
      </c>
      <c r="K13" s="24" t="s">
        <v>206</v>
      </c>
      <c r="L13" s="28" t="str">
        <f>T(總名冊!J536)</f>
        <v>何有容</v>
      </c>
      <c r="M13" s="26" t="str">
        <f>T(總名冊!I536)</f>
        <v xml:space="preserve">商設四甲  </v>
      </c>
      <c r="N13" s="10"/>
      <c r="O13" s="10"/>
      <c r="P13" s="10"/>
      <c r="Q13" s="10"/>
      <c r="R13" s="10"/>
    </row>
    <row r="14" spans="1:18" ht="25" customHeight="1" thickBot="1">
      <c r="A14" s="415"/>
      <c r="B14" s="24" t="s">
        <v>192</v>
      </c>
      <c r="C14" s="29" t="str">
        <f>T(總名冊!J516)</f>
        <v>陳渝柔</v>
      </c>
      <c r="D14" s="26" t="str">
        <f>T(總名冊!I516)</f>
        <v xml:space="preserve">品設一乙  </v>
      </c>
      <c r="E14" s="10"/>
      <c r="F14" s="10"/>
      <c r="G14" s="10"/>
      <c r="H14" s="10"/>
      <c r="I14" s="10"/>
      <c r="J14" s="415"/>
      <c r="K14" s="24" t="s">
        <v>192</v>
      </c>
      <c r="L14" s="26" t="str">
        <f>T(總名冊!J537)</f>
        <v>張瑋庭</v>
      </c>
      <c r="M14" s="26" t="str">
        <f>T(總名冊!I537)</f>
        <v>建築三甲</v>
      </c>
      <c r="N14" s="10"/>
      <c r="O14" s="10"/>
      <c r="P14" s="10"/>
      <c r="Q14" s="10"/>
      <c r="R14" s="10"/>
    </row>
    <row r="15" spans="1:18" ht="25" customHeight="1" thickBot="1">
      <c r="A15" s="416"/>
      <c r="B15" s="24" t="s">
        <v>207</v>
      </c>
      <c r="C15" s="29" t="str">
        <f>T(總名冊!J517)</f>
        <v>黃婉翎</v>
      </c>
      <c r="D15" s="26" t="str">
        <f>T(總名冊!I517)</f>
        <v xml:space="preserve">品設一乙  </v>
      </c>
      <c r="E15" s="10"/>
      <c r="F15" s="10"/>
      <c r="G15" s="10"/>
      <c r="H15" s="10"/>
      <c r="I15" s="10"/>
      <c r="J15" s="416"/>
      <c r="K15" s="24" t="s">
        <v>207</v>
      </c>
      <c r="L15" s="26" t="str">
        <f>T(總名冊!J538)</f>
        <v>林樂晴</v>
      </c>
      <c r="M15" s="26" t="str">
        <f>T(總名冊!I538)</f>
        <v xml:space="preserve">犯防一乙  </v>
      </c>
      <c r="N15" s="10"/>
      <c r="O15" s="10"/>
      <c r="P15" s="10"/>
      <c r="Q15" s="10"/>
      <c r="R15" s="10"/>
    </row>
    <row r="16" spans="1:18" ht="25" customHeight="1" thickBot="1">
      <c r="A16" s="414">
        <v>91</v>
      </c>
      <c r="B16" s="24" t="s">
        <v>206</v>
      </c>
      <c r="C16" s="29" t="str">
        <f>T(總名冊!J518)</f>
        <v>羅苡菱</v>
      </c>
      <c r="D16" s="26" t="str">
        <f>T(總名冊!I518)</f>
        <v xml:space="preserve">資工一甲  </v>
      </c>
      <c r="E16" s="10"/>
      <c r="F16" s="10"/>
      <c r="G16" s="10"/>
      <c r="H16" s="10"/>
      <c r="I16" s="10"/>
      <c r="J16" s="414">
        <v>119</v>
      </c>
      <c r="K16" s="24" t="s">
        <v>206</v>
      </c>
      <c r="L16" s="29" t="str">
        <f>T(總名冊!J539)</f>
        <v>陳儀恩</v>
      </c>
      <c r="M16" s="26" t="str">
        <f>T(總名冊!I539)</f>
        <v xml:space="preserve">公行一甲  </v>
      </c>
      <c r="N16" s="10"/>
      <c r="O16" s="10"/>
      <c r="P16" s="10"/>
      <c r="Q16" s="10"/>
      <c r="R16" s="10"/>
    </row>
    <row r="17" spans="1:18" ht="25" customHeight="1" thickBot="1">
      <c r="A17" s="415"/>
      <c r="B17" s="24" t="s">
        <v>192</v>
      </c>
      <c r="C17" s="29" t="str">
        <f>T(總名冊!J519)</f>
        <v>鄭聿喬</v>
      </c>
      <c r="D17" s="26" t="str">
        <f>T(總名冊!I519)</f>
        <v xml:space="preserve">犯防一乙  </v>
      </c>
      <c r="E17" s="10"/>
      <c r="F17" s="10"/>
      <c r="G17" s="10"/>
      <c r="H17" s="10"/>
      <c r="I17" s="10"/>
      <c r="J17" s="415"/>
      <c r="K17" s="24" t="s">
        <v>192</v>
      </c>
      <c r="L17" s="29" t="str">
        <f>T(總名冊!J540)</f>
        <v>施忞萱</v>
      </c>
      <c r="M17" s="26" t="str">
        <f>T(總名冊!I540)</f>
        <v xml:space="preserve">資管一乙  </v>
      </c>
      <c r="N17" s="10"/>
      <c r="O17" s="10"/>
      <c r="P17" s="10"/>
      <c r="Q17" s="10"/>
      <c r="R17" s="10"/>
    </row>
    <row r="18" spans="1:18" ht="25" customHeight="1" thickBot="1">
      <c r="A18" s="416"/>
      <c r="B18" s="24" t="s">
        <v>207</v>
      </c>
      <c r="C18" s="29" t="str">
        <f>T(總名冊!J520)</f>
        <v>楊雅婷</v>
      </c>
      <c r="D18" s="26" t="str">
        <f>T(總名冊!I520)</f>
        <v xml:space="preserve">統資四甲  </v>
      </c>
      <c r="E18" s="10"/>
      <c r="F18" s="10"/>
      <c r="G18" s="10"/>
      <c r="H18" s="10"/>
      <c r="I18" s="10"/>
      <c r="J18" s="416"/>
      <c r="K18" s="24" t="s">
        <v>207</v>
      </c>
      <c r="L18" s="29" t="str">
        <f>T(總名冊!J541)</f>
        <v>游妤庭</v>
      </c>
      <c r="M18" s="26" t="str">
        <f>T(總名冊!I541)</f>
        <v xml:space="preserve">商設四甲  </v>
      </c>
      <c r="N18" s="25"/>
      <c r="O18" s="25"/>
      <c r="P18" s="25"/>
      <c r="Q18" s="25"/>
      <c r="R18" s="25"/>
    </row>
    <row r="19" spans="1:18" ht="25" customHeight="1" thickBot="1">
      <c r="A19" s="414">
        <v>93</v>
      </c>
      <c r="B19" s="24" t="s">
        <v>206</v>
      </c>
      <c r="C19" s="29" t="e">
        <f>T(總名冊!#REF!)</f>
        <v>#REF!</v>
      </c>
      <c r="D19" s="26" t="e">
        <f>T(總名冊!#REF!)</f>
        <v>#REF!</v>
      </c>
      <c r="E19" s="10"/>
      <c r="F19" s="10"/>
      <c r="G19" s="10"/>
      <c r="H19" s="10"/>
      <c r="I19" s="10"/>
      <c r="J19" s="414">
        <v>121</v>
      </c>
      <c r="K19" s="24" t="s">
        <v>206</v>
      </c>
      <c r="L19" s="29" t="str">
        <f>T(總名冊!J542)</f>
        <v>邱羽芹</v>
      </c>
      <c r="M19" s="26" t="str">
        <f>T(總名冊!I542)</f>
        <v>金科一甲</v>
      </c>
      <c r="N19" s="10"/>
      <c r="O19" s="10"/>
      <c r="P19" s="10"/>
      <c r="Q19" s="10"/>
      <c r="R19" s="10"/>
    </row>
    <row r="20" spans="1:18" ht="25" customHeight="1" thickBot="1">
      <c r="A20" s="415"/>
      <c r="B20" s="24" t="s">
        <v>192</v>
      </c>
      <c r="C20" s="29" t="str">
        <f>T(總名冊!J522)</f>
        <v>姚雅涵</v>
      </c>
      <c r="D20" s="26" t="str">
        <f>T(總名冊!I522)</f>
        <v xml:space="preserve">統資四甲  </v>
      </c>
      <c r="E20" s="10"/>
      <c r="F20" s="10"/>
      <c r="G20" s="10"/>
      <c r="H20" s="10"/>
      <c r="I20" s="10"/>
      <c r="J20" s="415"/>
      <c r="K20" s="24" t="s">
        <v>192</v>
      </c>
      <c r="L20" s="29" t="str">
        <f>T(總名冊!J543)</f>
        <v>楊捷媃</v>
      </c>
      <c r="M20" s="26" t="str">
        <f>T(總名冊!I543)</f>
        <v>電機一丙</v>
      </c>
      <c r="N20" s="10"/>
      <c r="O20" s="10"/>
      <c r="P20" s="10"/>
      <c r="Q20" s="10"/>
      <c r="R20" s="10"/>
    </row>
    <row r="21" spans="1:18" ht="25" customHeight="1" thickBot="1">
      <c r="A21" s="416"/>
      <c r="B21" s="24" t="s">
        <v>207</v>
      </c>
      <c r="C21" s="29" t="str">
        <f>T(總名冊!J523)</f>
        <v>趙翊廷</v>
      </c>
      <c r="D21" s="26" t="str">
        <f>T(總名冊!I523)</f>
        <v>醫管三乙</v>
      </c>
      <c r="E21" s="10"/>
      <c r="F21" s="10"/>
      <c r="G21" s="10"/>
      <c r="H21" s="10"/>
      <c r="I21" s="10"/>
      <c r="J21" s="416"/>
      <c r="K21" s="24" t="s">
        <v>207</v>
      </c>
      <c r="L21" s="29" t="str">
        <f>T(總名冊!J544)</f>
        <v>柳岑樺</v>
      </c>
      <c r="M21" s="26" t="str">
        <f>T(總名冊!I544)</f>
        <v>生科二乙</v>
      </c>
      <c r="N21" s="10"/>
      <c r="O21" s="10"/>
      <c r="P21" s="10"/>
      <c r="Q21" s="10"/>
      <c r="R21" s="10"/>
    </row>
    <row r="22" spans="1:18" ht="25" customHeight="1" thickBot="1">
      <c r="A22" s="414">
        <v>95</v>
      </c>
      <c r="B22" s="24" t="s">
        <v>206</v>
      </c>
      <c r="C22" s="29" t="str">
        <f>T(總名冊!J524)</f>
        <v>侯淯宸</v>
      </c>
      <c r="D22" s="26" t="str">
        <f>T(總名冊!I524)</f>
        <v xml:space="preserve">醫工三甲  </v>
      </c>
      <c r="E22" s="10"/>
      <c r="F22" s="10"/>
      <c r="G22" s="10"/>
      <c r="H22" s="10"/>
      <c r="I22" s="10"/>
      <c r="J22" s="417">
        <v>123</v>
      </c>
      <c r="K22" s="24" t="s">
        <v>206</v>
      </c>
      <c r="L22" s="29" t="str">
        <f>T(總名冊!J545)</f>
        <v>邱靖媗</v>
      </c>
      <c r="M22" s="26" t="str">
        <f>T(總名冊!I545)</f>
        <v>犯防二乙</v>
      </c>
      <c r="N22" s="10"/>
      <c r="O22" s="10"/>
      <c r="P22" s="10"/>
      <c r="Q22" s="10"/>
      <c r="R22" s="10"/>
    </row>
    <row r="23" spans="1:18" ht="25" customHeight="1" thickBot="1">
      <c r="A23" s="415"/>
      <c r="B23" s="24" t="s">
        <v>192</v>
      </c>
      <c r="C23" s="29" t="str">
        <f>T(總名冊!J525)</f>
        <v>古羽庭</v>
      </c>
      <c r="D23" s="26" t="str">
        <f>T(總名冊!I525)</f>
        <v xml:space="preserve">電機三甲  </v>
      </c>
      <c r="E23" s="10"/>
      <c r="F23" s="10"/>
      <c r="G23" s="10"/>
      <c r="H23" s="10"/>
      <c r="I23" s="10"/>
      <c r="J23" s="417"/>
      <c r="K23" s="24" t="s">
        <v>192</v>
      </c>
      <c r="L23" s="29" t="str">
        <f>T(總名冊!J546)</f>
        <v>郭子瑄</v>
      </c>
      <c r="M23" s="26" t="str">
        <f>T(總名冊!I546)</f>
        <v>犯防二乙</v>
      </c>
      <c r="N23" s="10"/>
      <c r="O23" s="10"/>
      <c r="P23" s="10"/>
      <c r="Q23" s="10"/>
      <c r="R23" s="10"/>
    </row>
    <row r="24" spans="1:18" ht="25" customHeight="1" thickBot="1">
      <c r="A24" s="416"/>
      <c r="B24" s="24" t="s">
        <v>207</v>
      </c>
      <c r="C24" s="29" t="str">
        <f>T(總名冊!J528)</f>
        <v>秦子涵</v>
      </c>
      <c r="D24" s="26" t="str">
        <f>T(總名冊!I528)</f>
        <v xml:space="preserve">休憩四甲  </v>
      </c>
      <c r="E24" s="10"/>
      <c r="F24" s="10"/>
      <c r="G24" s="10"/>
      <c r="H24" s="10"/>
      <c r="I24" s="10"/>
      <c r="J24" s="417"/>
      <c r="K24" s="24" t="s">
        <v>207</v>
      </c>
      <c r="L24" s="29" t="str">
        <f>T(總名冊!J547)</f>
        <v>林靖軒</v>
      </c>
      <c r="M24" s="26" t="str">
        <f>T(總名冊!I547)</f>
        <v>品設二甲</v>
      </c>
      <c r="N24" s="10"/>
      <c r="O24" s="10"/>
      <c r="P24" s="10"/>
      <c r="Q24" s="10"/>
      <c r="R24" s="10"/>
    </row>
    <row r="25" spans="1:18" ht="19" customHeight="1"/>
    <row r="26" spans="1:18" ht="19" customHeight="1"/>
    <row r="27" spans="1:18" ht="19" customHeight="1"/>
    <row r="28" spans="1:18" ht="19" customHeight="1"/>
    <row r="29" spans="1:18" ht="19" customHeight="1"/>
    <row r="30" spans="1:18" ht="19" customHeight="1"/>
    <row r="31" spans="1:18" ht="19" customHeight="1"/>
    <row r="32" spans="1:18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6" ht="4.5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</sheetData>
  <mergeCells count="23">
    <mergeCell ref="A1:R1"/>
    <mergeCell ref="A2:A3"/>
    <mergeCell ref="B2:B3"/>
    <mergeCell ref="C2:C3"/>
    <mergeCell ref="D2:D3"/>
    <mergeCell ref="J2:J3"/>
    <mergeCell ref="K2:K3"/>
    <mergeCell ref="L2:L3"/>
    <mergeCell ref="M2:M3"/>
    <mergeCell ref="A4:A6"/>
    <mergeCell ref="J4:J6"/>
    <mergeCell ref="A7:A9"/>
    <mergeCell ref="J7:J9"/>
    <mergeCell ref="A10:A12"/>
    <mergeCell ref="J10:J12"/>
    <mergeCell ref="A22:A24"/>
    <mergeCell ref="J22:J24"/>
    <mergeCell ref="A13:A15"/>
    <mergeCell ref="J13:J15"/>
    <mergeCell ref="A16:A18"/>
    <mergeCell ref="J16:J18"/>
    <mergeCell ref="A19:A21"/>
    <mergeCell ref="J19:J21"/>
  </mergeCells>
  <phoneticPr fontId="5" type="noConversion"/>
  <printOptions horizontalCentered="1" verticalCentered="1"/>
  <pageMargins left="0.11811023622047245" right="0.11811023622047245" top="0.35433070866141736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總名冊</vt:lpstr>
      <vt:lpstr>男生(2)</vt:lpstr>
      <vt:lpstr>男生(3)</vt:lpstr>
      <vt:lpstr>男生(4)</vt:lpstr>
      <vt:lpstr>男生(5)</vt:lpstr>
      <vt:lpstr>女生(3)</vt:lpstr>
      <vt:lpstr>男生(6)</vt:lpstr>
      <vt:lpstr>男生(7)</vt:lpstr>
      <vt:lpstr>女生(1)</vt:lpstr>
      <vt:lpstr>女生(2)</vt:lpstr>
      <vt:lpstr>女生(4)</vt:lpstr>
      <vt:lpstr>女生(5)</vt:lpstr>
      <vt:lpstr>女生(6)</vt:lpstr>
      <vt:lpstr>女生(7)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2025-12-28T08:53:22Z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7936a95b-356c-48a6-b1fb-f98eb93492a3</vt:lpwstr>
  </property>
</Properties>
</file>